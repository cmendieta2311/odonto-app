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 activeTab="3"/>
  </bookViews>
  <sheets>
    <sheet name="Table 1" sheetId="1" r:id="rId1"/>
    <sheet name="Hoja1" sheetId="2" r:id="rId2"/>
    <sheet name="Hoja3" sheetId="4" r:id="rId3"/>
    <sheet name="Hoja4" sheetId="5" r:id="rId4"/>
  </sheets>
  <calcPr calcId="145621"/>
</workbook>
</file>

<file path=xl/calcChain.xml><?xml version="1.0" encoding="utf-8"?>
<calcChain xmlns="http://schemas.openxmlformats.org/spreadsheetml/2006/main">
  <c r="F5" i="5" l="1"/>
  <c r="H2" i="2" l="1"/>
  <c r="E16" i="2"/>
  <c r="H1" i="2"/>
</calcChain>
</file>

<file path=xl/sharedStrings.xml><?xml version="1.0" encoding="utf-8"?>
<sst xmlns="http://schemas.openxmlformats.org/spreadsheetml/2006/main" count="352" uniqueCount="283">
  <si>
    <r>
      <rPr>
        <b/>
        <sz val="12"/>
        <rFont val="Arial"/>
        <family val="2"/>
      </rPr>
      <t>OPERATORIA DENTAL</t>
    </r>
  </si>
  <si>
    <r>
      <rPr>
        <b/>
        <sz val="11"/>
        <color rgb="FFFFFFFF"/>
        <rFont val="Arial"/>
        <family val="2"/>
      </rPr>
      <t>RESTAURACIONES ANTERIORES</t>
    </r>
  </si>
  <si>
    <r>
      <rPr>
        <sz val="12"/>
        <rFont val="Arial"/>
        <family val="2"/>
      </rPr>
      <t>Anterior clase IV caries</t>
    </r>
  </si>
  <si>
    <r>
      <rPr>
        <sz val="12"/>
        <rFont val="Arial"/>
        <family val="2"/>
      </rPr>
      <t>Anterior palatino compleja caries</t>
    </r>
  </si>
  <si>
    <r>
      <rPr>
        <sz val="12"/>
        <rFont val="Arial"/>
        <family val="2"/>
      </rPr>
      <t>Anterior caries simple</t>
    </r>
  </si>
  <si>
    <r>
      <rPr>
        <sz val="12"/>
        <rFont val="Arial"/>
        <family val="2"/>
      </rPr>
      <t>Restauración estética anterior con resina</t>
    </r>
  </si>
  <si>
    <r>
      <rPr>
        <b/>
        <sz val="11"/>
        <color rgb="FFFFFFFF"/>
        <rFont val="Arial"/>
        <family val="2"/>
      </rPr>
      <t>RESTAURACIONES POSTERIORES (EN CONSULTORIO)</t>
    </r>
  </si>
  <si>
    <r>
      <rPr>
        <sz val="12"/>
        <rFont val="Arial"/>
        <family val="2"/>
      </rPr>
      <t>Posterior molar compleja caries</t>
    </r>
  </si>
  <si>
    <r>
      <rPr>
        <sz val="12"/>
        <rFont val="Arial"/>
        <family val="2"/>
      </rPr>
      <t>Posterior molar oclusal simple caries</t>
    </r>
  </si>
  <si>
    <r>
      <rPr>
        <sz val="12"/>
        <rFont val="Arial"/>
        <family val="2"/>
      </rPr>
      <t>Caries occlusal compleja PREMOLAR</t>
    </r>
  </si>
  <si>
    <r>
      <rPr>
        <sz val="12"/>
        <rFont val="Arial"/>
        <family val="2"/>
      </rPr>
      <t>Caries occlusal simple PREMOLAR</t>
    </r>
  </si>
  <si>
    <r>
      <rPr>
        <sz val="12"/>
        <rFont val="Arial"/>
        <family val="2"/>
      </rPr>
      <t>Caries M/D (Clase II)</t>
    </r>
  </si>
  <si>
    <r>
      <rPr>
        <sz val="12"/>
        <color rgb="FFFFFFFF"/>
        <rFont val="Arial"/>
        <family val="2"/>
      </rPr>
      <t>RESTAURACIONES POSTERIORES ( LABORATORIO)</t>
    </r>
  </si>
  <si>
    <r>
      <rPr>
        <sz val="12"/>
        <rFont val="Arial"/>
        <family val="2"/>
      </rPr>
      <t>Posterior molar INLAY CARIES CEROMERO (LABORATORIO)</t>
    </r>
  </si>
  <si>
    <r>
      <rPr>
        <sz val="12"/>
        <rFont val="Arial"/>
        <family val="2"/>
      </rPr>
      <t>Posterior molar INLAY CARIES PORCELANA (LABORATORIO)</t>
    </r>
  </si>
  <si>
    <r>
      <rPr>
        <sz val="12"/>
        <rFont val="Arial"/>
        <family val="2"/>
      </rPr>
      <t>Posterior molar ONLAY CARIES CEROMERO (LABORATORIO)</t>
    </r>
  </si>
  <si>
    <r>
      <rPr>
        <sz val="12"/>
        <rFont val="Arial"/>
        <family val="2"/>
      </rPr>
      <t>Posterior molar ONLAY CARIES PORCELANA</t>
    </r>
  </si>
  <si>
    <r>
      <rPr>
        <sz val="12"/>
        <rFont val="Arial"/>
        <family val="2"/>
      </rPr>
      <t>Posterior molar OVERLAY CARIES CERÓMERO</t>
    </r>
  </si>
  <si>
    <r>
      <rPr>
        <sz val="12"/>
        <rFont val="Arial"/>
        <family val="2"/>
      </rPr>
      <t>Posterior molar OVERLAY CARIES PORCELANA</t>
    </r>
  </si>
  <si>
    <r>
      <rPr>
        <sz val="12"/>
        <rFont val="Arial"/>
        <family val="2"/>
      </rPr>
      <t>Incrustación dientes posteriores cerómero (premolar)</t>
    </r>
  </si>
  <si>
    <r>
      <rPr>
        <sz val="12"/>
        <rFont val="Arial"/>
        <family val="2"/>
      </rPr>
      <t>Incrustación dientes posteriores porcelana (LABORATORIO)</t>
    </r>
  </si>
  <si>
    <r>
      <rPr>
        <sz val="12"/>
        <color rgb="FFFFFFFF"/>
        <rFont val="Arial"/>
        <family val="2"/>
      </rPr>
      <t>OTRAS RESTAURACIONES</t>
    </r>
  </si>
  <si>
    <r>
      <rPr>
        <sz val="12"/>
        <rFont val="Arial"/>
        <family val="2"/>
      </rPr>
      <t>Obturación cervical</t>
    </r>
  </si>
  <si>
    <r>
      <rPr>
        <sz val="12"/>
        <rFont val="Arial"/>
        <family val="2"/>
      </rPr>
      <t>Obturación con ionómero</t>
    </r>
  </si>
  <si>
    <r>
      <rPr>
        <sz val="12"/>
        <rFont val="Arial"/>
        <family val="2"/>
      </rPr>
      <t>Reconstrucción de ángulo diente permanente</t>
    </r>
  </si>
  <si>
    <r>
      <rPr>
        <sz val="12"/>
        <rFont val="Arial"/>
        <family val="2"/>
      </rPr>
      <t>Carilla anterior con resina (in situ)</t>
    </r>
  </si>
  <si>
    <r>
      <rPr>
        <sz val="12"/>
        <rFont val="Arial"/>
        <family val="2"/>
      </rPr>
      <t>Carilla porcelana pura PPD</t>
    </r>
  </si>
  <si>
    <r>
      <rPr>
        <sz val="12"/>
        <rFont val="Arial"/>
        <family val="2"/>
      </rPr>
      <t>Cirugía simple apartir de 2 raíces</t>
    </r>
  </si>
  <si>
    <r>
      <rPr>
        <b/>
        <sz val="12"/>
        <rFont val="Arial"/>
        <family val="2"/>
      </rPr>
      <t>CIRUGÌA BUCAL</t>
    </r>
  </si>
  <si>
    <r>
      <rPr>
        <sz val="12"/>
        <rFont val="Arial"/>
        <family val="2"/>
      </rPr>
      <t>Cirugía complicada</t>
    </r>
  </si>
  <si>
    <r>
      <rPr>
        <sz val="12"/>
        <rFont val="Arial"/>
        <family val="2"/>
      </rPr>
      <t>Resto radicular</t>
    </r>
  </si>
  <si>
    <r>
      <rPr>
        <sz val="12"/>
        <rFont val="Arial"/>
        <family val="2"/>
      </rPr>
      <t>Cirugía diente uniradicular</t>
    </r>
  </si>
  <si>
    <r>
      <rPr>
        <sz val="12"/>
        <rFont val="Arial"/>
        <family val="2"/>
      </rPr>
      <t>Exodoncia diente periodontal</t>
    </r>
  </si>
  <si>
    <r>
      <rPr>
        <sz val="12"/>
        <rFont val="Arial"/>
        <family val="2"/>
      </rPr>
      <t>Diente Supernumerario (erupcionado)</t>
    </r>
  </si>
  <si>
    <r>
      <rPr>
        <sz val="12"/>
        <rFont val="Arial"/>
        <family val="2"/>
      </rPr>
      <t>Diente Supernumerario (sin erupcionar)</t>
    </r>
  </si>
  <si>
    <r>
      <rPr>
        <sz val="12"/>
        <rFont val="Arial"/>
        <family val="2"/>
      </rPr>
      <t>Cirugía diente retenido (extracción)</t>
    </r>
  </si>
  <si>
    <r>
      <rPr>
        <sz val="12"/>
        <rFont val="Arial"/>
        <family val="2"/>
      </rPr>
      <t>Cirugía diente retenido (p/traccionar)</t>
    </r>
  </si>
  <si>
    <r>
      <rPr>
        <sz val="12"/>
        <rFont val="Arial"/>
        <family val="2"/>
      </rPr>
      <t>Cirugía de corte frenillo labial</t>
    </r>
  </si>
  <si>
    <r>
      <rPr>
        <sz val="12"/>
        <rFont val="Arial"/>
        <family val="2"/>
      </rPr>
      <t>Cirugía de corte frenillo lingual</t>
    </r>
  </si>
  <si>
    <r>
      <rPr>
        <sz val="12"/>
        <rFont val="Arial"/>
        <family val="2"/>
      </rPr>
      <t>Toma de muestra para biopsia</t>
    </r>
  </si>
  <si>
    <r>
      <rPr>
        <sz val="12"/>
        <rFont val="Arial"/>
        <family val="2"/>
      </rPr>
      <t>Corte frenillo labial y lingual</t>
    </r>
  </si>
  <si>
    <r>
      <rPr>
        <sz val="12"/>
        <rFont val="Arial"/>
        <family val="2"/>
      </rPr>
      <t>Gingivectomia con corte</t>
    </r>
  </si>
  <si>
    <r>
      <rPr>
        <sz val="12"/>
        <rFont val="Arial"/>
        <family val="2"/>
      </rPr>
      <t>Ostectomía</t>
    </r>
  </si>
  <si>
    <r>
      <rPr>
        <sz val="12"/>
        <color rgb="FFFFFFFF"/>
        <rFont val="Arial"/>
        <family val="2"/>
      </rPr>
      <t>TERCEROS MOLARES</t>
    </r>
  </si>
  <si>
    <r>
      <rPr>
        <sz val="12"/>
        <rFont val="Arial"/>
        <family val="2"/>
      </rPr>
      <t>Tercer molar superior sin erupcionar</t>
    </r>
  </si>
  <si>
    <r>
      <rPr>
        <sz val="12"/>
        <rFont val="Arial"/>
        <family val="2"/>
      </rPr>
      <t>Tercer molar superior impactado</t>
    </r>
  </si>
  <si>
    <r>
      <rPr>
        <sz val="12"/>
        <rFont val="Arial"/>
        <family val="2"/>
      </rPr>
      <t>Tercer molar superior erupcionado</t>
    </r>
  </si>
  <si>
    <r>
      <rPr>
        <sz val="12"/>
        <rFont val="Arial"/>
        <family val="2"/>
      </rPr>
      <t>Tercer molar inferior sin erupcionar</t>
    </r>
  </si>
  <si>
    <r>
      <rPr>
        <sz val="12"/>
        <rFont val="Arial"/>
        <family val="2"/>
      </rPr>
      <t>Tercer molar inferior impactado</t>
    </r>
  </si>
  <si>
    <r>
      <rPr>
        <sz val="12"/>
        <rFont val="Arial"/>
        <family val="2"/>
      </rPr>
      <t>Tercer molar inferior erupcionado</t>
    </r>
  </si>
  <si>
    <r>
      <rPr>
        <sz val="12"/>
        <rFont val="Arial"/>
        <family val="2"/>
      </rPr>
      <t>Germenectomía</t>
    </r>
  </si>
  <si>
    <r>
      <rPr>
        <b/>
        <sz val="12"/>
        <rFont val="Arial"/>
        <family val="2"/>
      </rPr>
      <t>ENDODONCIA</t>
    </r>
  </si>
  <si>
    <r>
      <rPr>
        <sz val="12"/>
        <color rgb="FFFFFFFF"/>
        <rFont val="Arial"/>
        <family val="2"/>
      </rPr>
      <t>1. MANUAL</t>
    </r>
  </si>
  <si>
    <r>
      <rPr>
        <sz val="12"/>
        <rFont val="Arial"/>
        <family val="2"/>
      </rPr>
      <t>Endodoncia dientes anteriores</t>
    </r>
  </si>
  <si>
    <r>
      <rPr>
        <sz val="12"/>
        <rFont val="Arial"/>
        <family val="2"/>
      </rPr>
      <t>Endodoncia premolares</t>
    </r>
  </si>
  <si>
    <r>
      <rPr>
        <sz val="12"/>
        <rFont val="Arial"/>
        <family val="2"/>
      </rPr>
      <t>Endodoncia molar</t>
    </r>
  </si>
  <si>
    <r>
      <rPr>
        <sz val="12"/>
        <color rgb="FFFFFFFF"/>
        <rFont val="Arial"/>
        <family val="2"/>
      </rPr>
      <t>1.1.      RETRATAMIENTOS (manual)</t>
    </r>
  </si>
  <si>
    <r>
      <rPr>
        <sz val="12"/>
        <rFont val="Arial"/>
        <family val="2"/>
      </rPr>
      <t>Dientes anteriores</t>
    </r>
  </si>
  <si>
    <r>
      <rPr>
        <sz val="12"/>
        <rFont val="Arial"/>
        <family val="2"/>
      </rPr>
      <t>Premolares</t>
    </r>
  </si>
  <si>
    <r>
      <rPr>
        <sz val="12"/>
        <rFont val="Arial"/>
        <family val="2"/>
      </rPr>
      <t>Molares</t>
    </r>
  </si>
  <si>
    <r>
      <rPr>
        <sz val="12"/>
        <color rgb="FFFFFFFF"/>
        <rFont val="Arial"/>
        <family val="2"/>
      </rPr>
      <t>2. MECANIZADA</t>
    </r>
  </si>
  <si>
    <r>
      <rPr>
        <sz val="12"/>
        <rFont val="Arial"/>
        <family val="2"/>
      </rPr>
      <t>Endodoncia anterior</t>
    </r>
  </si>
  <si>
    <r>
      <rPr>
        <sz val="12"/>
        <rFont val="Arial"/>
        <family val="2"/>
      </rPr>
      <t>Endodoncia premolar</t>
    </r>
  </si>
  <si>
    <r>
      <rPr>
        <sz val="12"/>
        <color rgb="FFFFFFFF"/>
        <rFont val="Arial"/>
        <family val="2"/>
      </rPr>
      <t>2.2. RETRATAMIENTO (MECANIZADA)</t>
    </r>
  </si>
  <si>
    <r>
      <rPr>
        <sz val="12"/>
        <rFont val="Arial"/>
        <family val="2"/>
      </rPr>
      <t>En dientes anteriores</t>
    </r>
  </si>
  <si>
    <r>
      <rPr>
        <sz val="12"/>
        <rFont val="Arial"/>
        <family val="2"/>
      </rPr>
      <t>En premolares</t>
    </r>
  </si>
  <si>
    <r>
      <rPr>
        <sz val="12"/>
        <rFont val="Arial"/>
        <family val="2"/>
      </rPr>
      <t>En molares</t>
    </r>
  </si>
  <si>
    <r>
      <rPr>
        <sz val="12"/>
        <color rgb="FFFFFFFF"/>
        <rFont val="Arial"/>
        <family val="2"/>
      </rPr>
      <t>3. POS ENDODONCIA</t>
    </r>
  </si>
  <si>
    <r>
      <rPr>
        <sz val="12"/>
        <rFont val="Arial"/>
        <family val="2"/>
      </rPr>
      <t>Blanqueamiento interno</t>
    </r>
  </si>
  <si>
    <r>
      <rPr>
        <sz val="12"/>
        <rFont val="Arial"/>
        <family val="2"/>
      </rPr>
      <t>Perno metálico articulado por pieza dentaria</t>
    </r>
  </si>
  <si>
    <r>
      <rPr>
        <sz val="12"/>
        <rFont val="Arial"/>
        <family val="2"/>
      </rPr>
      <t>Perno metálico simple por pieza dentaria</t>
    </r>
  </si>
  <si>
    <r>
      <rPr>
        <sz val="12"/>
        <rFont val="Arial"/>
        <family val="2"/>
      </rPr>
      <t>Perno fibra de vidrio por pieza dentaria</t>
    </r>
  </si>
  <si>
    <r>
      <rPr>
        <sz val="12"/>
        <rFont val="Arial"/>
        <family val="2"/>
      </rPr>
      <t>Endocrown cerómero (LABORATORIO)</t>
    </r>
  </si>
  <si>
    <r>
      <rPr>
        <sz val="12"/>
        <color rgb="FFFFFFFF"/>
        <rFont val="Arial"/>
        <family val="2"/>
      </rPr>
      <t>OTROS</t>
    </r>
  </si>
  <si>
    <r>
      <rPr>
        <sz val="12"/>
        <rFont val="Arial"/>
        <family val="2"/>
      </rPr>
      <t>Urgencia endodontica</t>
    </r>
  </si>
  <si>
    <r>
      <rPr>
        <sz val="12"/>
        <rFont val="Arial"/>
        <family val="2"/>
      </rPr>
      <t>Medicación (sin obturación, con provisorio)</t>
    </r>
  </si>
  <si>
    <r>
      <rPr>
        <b/>
        <sz val="12"/>
        <rFont val="Arial"/>
        <family val="2"/>
      </rPr>
      <t>ORTODONCIA</t>
    </r>
  </si>
  <si>
    <r>
      <rPr>
        <sz val="12"/>
        <color rgb="FFFFFFFF"/>
        <rFont val="Arial"/>
        <family val="2"/>
      </rPr>
      <t>1.ESTUDIOS PREVIOS</t>
    </r>
  </si>
  <si>
    <r>
      <rPr>
        <sz val="12"/>
        <rFont val="Arial"/>
        <family val="2"/>
      </rPr>
      <t>Modelo de estudio</t>
    </r>
  </si>
  <si>
    <r>
      <rPr>
        <sz val="12"/>
        <rFont val="Arial"/>
        <family val="2"/>
      </rPr>
      <t>Radiografía panorámica</t>
    </r>
  </si>
  <si>
    <r>
      <rPr>
        <sz val="12"/>
        <rFont val="Arial"/>
        <family val="2"/>
      </rPr>
      <t>-</t>
    </r>
  </si>
  <si>
    <r>
      <rPr>
        <sz val="12"/>
        <rFont val="Arial"/>
        <family val="2"/>
      </rPr>
      <t>Radiografía lateral</t>
    </r>
  </si>
  <si>
    <r>
      <rPr>
        <sz val="12"/>
        <color rgb="FFFFFFFF"/>
        <rFont val="Arial"/>
        <family val="2"/>
      </rPr>
      <t>2. INSTALACION</t>
    </r>
  </si>
  <si>
    <r>
      <rPr>
        <sz val="12"/>
        <rFont val="Arial"/>
        <family val="2"/>
      </rPr>
      <t>Convencional metálico superior e inferior</t>
    </r>
  </si>
  <si>
    <r>
      <rPr>
        <sz val="12"/>
        <color rgb="FFFFFFFF"/>
        <rFont val="Arial"/>
        <family val="2"/>
      </rPr>
      <t>3.CONVENCIONAL</t>
    </r>
  </si>
  <si>
    <r>
      <rPr>
        <sz val="12"/>
        <rFont val="Arial"/>
        <family val="2"/>
      </rPr>
      <t>Ortodoncia convencional metálico x 12</t>
    </r>
  </si>
  <si>
    <r>
      <rPr>
        <sz val="12"/>
        <rFont val="Arial"/>
        <family val="2"/>
      </rPr>
      <t>Ortodoncia convencional metálico x 24</t>
    </r>
  </si>
  <si>
    <r>
      <rPr>
        <sz val="12"/>
        <rFont val="Arial"/>
        <family val="2"/>
      </rPr>
      <t>Ortodoncia convencional metálico x 36</t>
    </r>
  </si>
  <si>
    <r>
      <rPr>
        <sz val="12"/>
        <rFont val="Arial"/>
        <family val="2"/>
      </rPr>
      <t>Bracket convencional metálico por pieza</t>
    </r>
  </si>
  <si>
    <r>
      <rPr>
        <sz val="12"/>
        <color rgb="FFFFFFFF"/>
        <rFont val="Arial"/>
        <family val="2"/>
      </rPr>
      <t>4.AUTOLIGADO</t>
    </r>
  </si>
  <si>
    <r>
      <rPr>
        <sz val="12"/>
        <rFont val="Arial"/>
        <family val="2"/>
      </rPr>
      <t>Ortodoncia autoligado metálico x 12</t>
    </r>
  </si>
  <si>
    <r>
      <rPr>
        <sz val="12"/>
        <rFont val="Arial"/>
        <family val="2"/>
      </rPr>
      <t>Ortodoncia autoligado metálico x 24</t>
    </r>
  </si>
  <si>
    <r>
      <rPr>
        <sz val="12"/>
        <rFont val="Arial"/>
        <family val="2"/>
      </rPr>
      <t>Ortodoncia autoligado metálico x 36</t>
    </r>
  </si>
  <si>
    <r>
      <rPr>
        <sz val="12"/>
        <rFont val="Arial"/>
        <family val="2"/>
      </rPr>
      <t>Bracket autoligado metálico por pieza</t>
    </r>
  </si>
  <si>
    <r>
      <rPr>
        <sz val="12"/>
        <color rgb="FFFFFFFF"/>
        <rFont val="Arial"/>
        <family val="2"/>
      </rPr>
      <t>5.ESTETICO</t>
    </r>
  </si>
  <si>
    <r>
      <rPr>
        <sz val="12"/>
        <rFont val="Arial"/>
        <family val="2"/>
      </rPr>
      <t>Ortodoncia      convencional      bracket estético x12</t>
    </r>
  </si>
  <si>
    <r>
      <rPr>
        <sz val="12"/>
        <rFont val="Arial"/>
        <family val="2"/>
      </rPr>
      <t>Ortodoncia      convencional      bracket estético x24</t>
    </r>
  </si>
  <si>
    <r>
      <rPr>
        <sz val="12"/>
        <rFont val="Arial"/>
        <family val="2"/>
      </rPr>
      <t>Ortodoncia      convencional      bracket estético x36</t>
    </r>
  </si>
  <si>
    <r>
      <rPr>
        <sz val="12"/>
        <rFont val="Arial"/>
        <family val="2"/>
      </rPr>
      <t>Bracket  convencional estético por pieza</t>
    </r>
  </si>
  <si>
    <r>
      <rPr>
        <sz val="12"/>
        <color rgb="FFFFFFFF"/>
        <rFont val="Arial"/>
        <family val="2"/>
      </rPr>
      <t>6.POS ORTODONCIA</t>
    </r>
  </si>
  <si>
    <r>
      <rPr>
        <sz val="12"/>
        <rFont val="Arial"/>
        <family val="2"/>
      </rPr>
      <t>Retiro de bracket superior e inferior</t>
    </r>
  </si>
  <si>
    <r>
      <rPr>
        <sz val="12"/>
        <rFont val="Arial"/>
        <family val="2"/>
      </rPr>
      <t>Retiro de bracket superior</t>
    </r>
  </si>
  <si>
    <r>
      <rPr>
        <sz val="12"/>
        <rFont val="Arial"/>
        <family val="2"/>
      </rPr>
      <t>Retiro de bracket inferior</t>
    </r>
  </si>
  <si>
    <r>
      <rPr>
        <sz val="12"/>
        <rFont val="Arial"/>
        <family val="2"/>
      </rPr>
      <t>Pulido después de ortodoncia</t>
    </r>
  </si>
  <si>
    <r>
      <rPr>
        <sz val="12"/>
        <color rgb="FFFFFFFF"/>
        <rFont val="Arial"/>
        <family val="2"/>
      </rPr>
      <t>7.CONTENCION</t>
    </r>
  </si>
  <si>
    <r>
      <rPr>
        <sz val="12"/>
        <rFont val="Arial"/>
        <family val="2"/>
      </rPr>
      <t>Mantenedor placa de acetato rígida (por arcada)</t>
    </r>
  </si>
  <si>
    <r>
      <rPr>
        <sz val="12"/>
        <rFont val="Arial"/>
        <family val="2"/>
      </rPr>
      <t>Contención fija inferior</t>
    </r>
  </si>
  <si>
    <r>
      <rPr>
        <sz val="12"/>
        <rFont val="Arial"/>
        <family val="2"/>
      </rPr>
      <t>Mantenedor a placa Hawley (por arcada)</t>
    </r>
  </si>
  <si>
    <r>
      <rPr>
        <sz val="12"/>
        <color rgb="FFFFFFFF"/>
        <rFont val="Arial"/>
        <family val="2"/>
      </rPr>
      <t>8.OTROS</t>
    </r>
  </si>
  <si>
    <r>
      <rPr>
        <sz val="12"/>
        <rFont val="Arial"/>
        <family val="2"/>
      </rPr>
      <t>Colocación de tubo c/u</t>
    </r>
  </si>
  <si>
    <r>
      <rPr>
        <sz val="12"/>
        <rFont val="Arial"/>
        <family val="2"/>
      </rPr>
      <t>Colocación de banda con tubo vestibular y lingual (c/u)</t>
    </r>
  </si>
  <si>
    <r>
      <rPr>
        <sz val="12"/>
        <rFont val="Arial"/>
        <family val="2"/>
      </rPr>
      <t>Barra transpalatina (laboratorio)</t>
    </r>
  </si>
  <si>
    <r>
      <rPr>
        <sz val="12"/>
        <rFont val="Arial"/>
        <family val="2"/>
      </rPr>
      <t>Aparato ortopédico HYRAX</t>
    </r>
  </si>
  <si>
    <r>
      <rPr>
        <sz val="12"/>
        <rFont val="Arial"/>
        <family val="2"/>
      </rPr>
      <t>Placa Hawley activa</t>
    </r>
  </si>
  <si>
    <r>
      <rPr>
        <sz val="12"/>
        <rFont val="Arial"/>
        <family val="2"/>
      </rPr>
      <t>Mantenedor de espacio banda ansa</t>
    </r>
  </si>
  <si>
    <r>
      <rPr>
        <sz val="12"/>
        <rFont val="Arial"/>
        <family val="2"/>
      </rPr>
      <t>Mantenedor de espacio removible</t>
    </r>
  </si>
  <si>
    <r>
      <rPr>
        <sz val="12"/>
        <rFont val="Arial"/>
        <family val="2"/>
      </rPr>
      <t>Mantenedor lingual/palatino (LABORATORIO)</t>
    </r>
  </si>
  <si>
    <r>
      <rPr>
        <sz val="12"/>
        <rFont val="Arial"/>
        <family val="2"/>
      </rPr>
      <t>Rejilla palatina para niños (LABORATORIO)</t>
    </r>
  </si>
  <si>
    <r>
      <rPr>
        <b/>
        <sz val="12"/>
        <rFont val="Arial"/>
        <family val="2"/>
      </rPr>
      <t>PROTESIS- TRABAJO DE LABORATORIO</t>
    </r>
  </si>
  <si>
    <r>
      <rPr>
        <b/>
        <sz val="12"/>
        <color rgb="FFFFFFFF"/>
        <rFont val="Arial"/>
        <family val="2"/>
      </rPr>
      <t>1.</t>
    </r>
    <r>
      <rPr>
        <sz val="12"/>
        <color rgb="FFFFFFFF"/>
        <rFont val="Arial"/>
        <family val="2"/>
      </rPr>
      <t>PRÓTESIS REMOVIBLE</t>
    </r>
  </si>
  <si>
    <r>
      <rPr>
        <b/>
        <sz val="12"/>
        <color rgb="FFFFFFFF"/>
        <rFont val="Arial"/>
        <family val="2"/>
      </rPr>
      <t>1.1.Metálico</t>
    </r>
  </si>
  <si>
    <r>
      <rPr>
        <sz val="12"/>
        <rFont val="Arial"/>
        <family val="2"/>
      </rPr>
      <t>Armazón de cromo cobalto (LABORATORIO)</t>
    </r>
  </si>
  <si>
    <r>
      <rPr>
        <sz val="12"/>
        <rFont val="Arial"/>
        <family val="2"/>
      </rPr>
      <t>Prótesis cromo cobalto por arcada (LABORATORIO)</t>
    </r>
  </si>
  <si>
    <r>
      <rPr>
        <sz val="12"/>
        <rFont val="Arial"/>
        <family val="2"/>
      </rPr>
      <t>PPR de cromo diente subsiguiente (LABORATORIO)</t>
    </r>
  </si>
  <si>
    <r>
      <rPr>
        <sz val="12"/>
        <rFont val="Arial"/>
        <family val="2"/>
      </rPr>
      <t>Gancho por diente prótesis</t>
    </r>
  </si>
  <si>
    <r>
      <rPr>
        <b/>
        <sz val="12"/>
        <color rgb="FFFFFFFF"/>
        <rFont val="Arial"/>
        <family val="2"/>
      </rPr>
      <t>1.2.Prótesis flexible</t>
    </r>
  </si>
  <si>
    <r>
      <rPr>
        <sz val="12"/>
        <rFont val="Arial"/>
        <family val="2"/>
      </rPr>
      <t>Prótesis flexible completa y parcial</t>
    </r>
  </si>
  <si>
    <r>
      <rPr>
        <sz val="12"/>
        <rFont val="Arial"/>
        <family val="2"/>
      </rPr>
      <t>Prótesis flexible unilateral (un solo diente) C/U</t>
    </r>
  </si>
  <si>
    <r>
      <rPr>
        <sz val="12"/>
        <rFont val="Arial"/>
        <family val="2"/>
      </rPr>
      <t>Prótesis flexible unilateral C/U</t>
    </r>
  </si>
  <si>
    <r>
      <rPr>
        <b/>
        <sz val="12"/>
        <color rgb="FFFFFFFF"/>
        <rFont val="Arial"/>
        <family val="2"/>
      </rPr>
      <t>1.3Prótesis removible de acrílico</t>
    </r>
  </si>
  <si>
    <r>
      <rPr>
        <sz val="12"/>
        <rFont val="Arial"/>
        <family val="2"/>
      </rPr>
      <t>Prótesis parcial acrílico (sin importar la cantidad de dientes) POR ARCADA</t>
    </r>
  </si>
  <si>
    <r>
      <rPr>
        <sz val="12"/>
        <rFont val="Arial"/>
        <family val="2"/>
      </rPr>
      <t>Prótesis completa de acrílico POR ARCADA (LABORATORIO)</t>
    </r>
  </si>
  <si>
    <r>
      <rPr>
        <b/>
        <sz val="12"/>
        <color rgb="FFFFFFFF"/>
        <rFont val="Arial"/>
        <family val="2"/>
      </rPr>
      <t>2.</t>
    </r>
    <r>
      <rPr>
        <sz val="12"/>
        <color rgb="FFFFFFFF"/>
        <rFont val="Arial"/>
        <family val="2"/>
      </rPr>
      <t>PROTESIS FIJA</t>
    </r>
  </si>
  <si>
    <r>
      <rPr>
        <b/>
        <sz val="12"/>
        <color rgb="FFFFFFFF"/>
        <rFont val="Arial"/>
        <family val="2"/>
      </rPr>
      <t>2.1.Coronas</t>
    </r>
  </si>
  <si>
    <r>
      <rPr>
        <sz val="12"/>
        <rFont val="Arial"/>
        <family val="2"/>
      </rPr>
      <t>Corona por pieza dentaria CEROMERO (LABORATORIO)</t>
    </r>
  </si>
  <si>
    <r>
      <rPr>
        <sz val="12"/>
        <rFont val="Arial"/>
        <family val="2"/>
      </rPr>
      <t>Corona por pieza dentaria PORCELANA (LABORATORIO)</t>
    </r>
  </si>
  <si>
    <r>
      <rPr>
        <sz val="12"/>
        <rFont val="Arial"/>
        <family val="2"/>
      </rPr>
      <t>Corona de porcelana pura por pieza dentaria (LABORATORIO)</t>
    </r>
  </si>
  <si>
    <r>
      <rPr>
        <sz val="12"/>
        <rFont val="Arial"/>
        <family val="2"/>
      </rPr>
      <t>Corona de porcelana y metal por pieza dentaria (LABORATORIO)</t>
    </r>
  </si>
  <si>
    <r>
      <rPr>
        <sz val="12"/>
        <rFont val="Arial"/>
        <family val="2"/>
      </rPr>
      <t>Corona de acrílico por pieza dentaria (LABORATORIO)</t>
    </r>
  </si>
  <si>
    <r>
      <rPr>
        <sz val="12"/>
        <rFont val="Arial"/>
        <family val="2"/>
      </rPr>
      <t>Corona de acrílico con metal por pieza dentaria (LABORATORIO)</t>
    </r>
  </si>
  <si>
    <r>
      <rPr>
        <sz val="12"/>
        <rFont val="Arial"/>
        <family val="2"/>
      </rPr>
      <t>Corona de zirconio por pieza dentaria(LABORATORIO)</t>
    </r>
  </si>
  <si>
    <r>
      <rPr>
        <sz val="12"/>
        <rFont val="Arial"/>
        <family val="2"/>
      </rPr>
      <t>Corona tipo veneer (LABORATORIO)</t>
    </r>
  </si>
  <si>
    <r>
      <rPr>
        <b/>
        <sz val="12"/>
        <color rgb="FFFFFFFF"/>
        <rFont val="Arial"/>
        <family val="2"/>
      </rPr>
      <t>2.2. Puente</t>
    </r>
  </si>
  <si>
    <r>
      <rPr>
        <sz val="12"/>
        <rFont val="Arial"/>
        <family val="2"/>
      </rPr>
      <t>Pieza de puente porcelana y  metal por corona/diente (LABORATORIO)</t>
    </r>
  </si>
  <si>
    <r>
      <rPr>
        <sz val="12"/>
        <rFont val="Arial"/>
        <family val="2"/>
      </rPr>
      <t>Pieza de puente metal más cerómero por corona/diente (LABORATORIO)</t>
    </r>
  </si>
  <si>
    <r>
      <rPr>
        <sz val="12"/>
        <rFont val="Arial"/>
        <family val="2"/>
      </rPr>
      <t>Pieza de puente zirconio por corona/diente (LABORATORIO)</t>
    </r>
  </si>
  <si>
    <r>
      <rPr>
        <sz val="12"/>
        <rFont val="Arial"/>
        <family val="2"/>
      </rPr>
      <t>Pieza de puente porcelana pura por corona/diente (LABORATORIO)</t>
    </r>
  </si>
  <si>
    <r>
      <rPr>
        <sz val="12"/>
        <rFont val="Arial"/>
        <family val="2"/>
      </rPr>
      <t>Puente de meryland dos dientes (metal porcelana)</t>
    </r>
  </si>
  <si>
    <r>
      <rPr>
        <sz val="12"/>
        <rFont val="Arial"/>
        <family val="2"/>
      </rPr>
      <t>Puente de meryland un solo diente (metal porcelana)</t>
    </r>
  </si>
  <si>
    <r>
      <rPr>
        <sz val="12"/>
        <rFont val="Arial"/>
        <family val="2"/>
      </rPr>
      <t>Ejemplo para presupuestar puente de tres piezas (dos pilares y un póntico). Material seleccionado metal porcelana.</t>
    </r>
  </si>
  <si>
    <r>
      <rPr>
        <b/>
        <sz val="12"/>
        <color rgb="FFFFFFFF"/>
        <rFont val="Arial"/>
        <family val="2"/>
      </rPr>
      <t>2.3.Pernos</t>
    </r>
  </si>
  <si>
    <r>
      <rPr>
        <sz val="12"/>
        <rFont val="Arial"/>
        <family val="2"/>
      </rPr>
      <t>Perno fibra de vidrio por pieza dentaria (LABORATORIO)</t>
    </r>
  </si>
  <si>
    <r>
      <rPr>
        <sz val="12"/>
        <rFont val="Arial"/>
        <family val="2"/>
      </rPr>
      <t>Perno  metálico  articulado  por  pieza dentaria (LABORATORIO)</t>
    </r>
  </si>
  <si>
    <r>
      <rPr>
        <sz val="12"/>
        <rFont val="Arial"/>
        <family val="2"/>
      </rPr>
      <t>Perno   metálico   simple   por   pieza dentaria (LABORATORIO)</t>
    </r>
  </si>
  <si>
    <r>
      <rPr>
        <b/>
        <sz val="12"/>
        <color rgb="FFFFFFFF"/>
        <rFont val="Arial"/>
        <family val="2"/>
      </rPr>
      <t>OTROS</t>
    </r>
  </si>
  <si>
    <r>
      <rPr>
        <sz val="12"/>
        <rFont val="Arial"/>
        <family val="2"/>
      </rPr>
      <t>Provisorio dental por pieza dentaria (LABORATORIO)</t>
    </r>
  </si>
  <si>
    <r>
      <rPr>
        <sz val="12"/>
        <rFont val="Arial"/>
        <family val="2"/>
      </rPr>
      <t>Prótesis provisoria acrílico autocurado (sin importar cantidad de dientes) LABORATORIO</t>
    </r>
  </si>
  <si>
    <r>
      <rPr>
        <sz val="12"/>
        <rFont val="Arial"/>
        <family val="2"/>
      </rPr>
      <t>Rebasado de prótesis</t>
    </r>
  </si>
  <si>
    <r>
      <rPr>
        <sz val="12"/>
        <rFont val="Arial"/>
        <family val="2"/>
      </rPr>
      <t>Agregado de un diente prótesis de acrílico</t>
    </r>
  </si>
  <si>
    <r>
      <rPr>
        <sz val="12"/>
        <rFont val="Arial"/>
        <family val="2"/>
      </rPr>
      <t>Compostura de prótesis compleja (LABORATORIO)</t>
    </r>
  </si>
  <si>
    <r>
      <rPr>
        <sz val="12"/>
        <rFont val="Arial"/>
        <family val="2"/>
      </rPr>
      <t>Compostura prótesis de acrílico (LABORATORIO)</t>
    </r>
  </si>
  <si>
    <r>
      <rPr>
        <sz val="12"/>
        <rFont val="Arial"/>
        <family val="2"/>
      </rPr>
      <t>Cubeta individual c/u</t>
    </r>
  </si>
  <si>
    <r>
      <rPr>
        <sz val="12"/>
        <rFont val="Arial"/>
        <family val="2"/>
      </rPr>
      <t>Gancho por diente prótesis (LABORATORIO)</t>
    </r>
  </si>
  <si>
    <r>
      <rPr>
        <b/>
        <sz val="12"/>
        <color rgb="FFFFFFFF"/>
        <rFont val="Arial"/>
        <family val="2"/>
      </rPr>
      <t>CEMENTACION</t>
    </r>
  </si>
  <si>
    <r>
      <rPr>
        <sz val="12"/>
        <rFont val="Arial"/>
        <family val="2"/>
      </rPr>
      <t>Cementado de corona</t>
    </r>
  </si>
  <si>
    <r>
      <rPr>
        <sz val="12"/>
        <rFont val="Arial"/>
        <family val="2"/>
      </rPr>
      <t>Cementado de perno (metálico o estético)</t>
    </r>
  </si>
  <si>
    <r>
      <rPr>
        <sz val="12"/>
        <rFont val="Arial"/>
        <family val="2"/>
      </rPr>
      <t>Cementado de provisorio</t>
    </r>
  </si>
  <si>
    <r>
      <rPr>
        <sz val="12"/>
        <rFont val="Arial"/>
        <family val="2"/>
      </rPr>
      <t>Cementado de perno y corona</t>
    </r>
  </si>
  <si>
    <r>
      <rPr>
        <b/>
        <sz val="12"/>
        <color rgb="FFFFFFFF"/>
        <rFont val="Arial"/>
        <family val="2"/>
      </rPr>
      <t>RETIROS</t>
    </r>
  </si>
  <si>
    <r>
      <rPr>
        <sz val="12"/>
        <rFont val="Arial"/>
        <family val="2"/>
      </rPr>
      <t>Retiro de corona</t>
    </r>
  </si>
  <si>
    <r>
      <rPr>
        <sz val="12"/>
        <rFont val="Arial"/>
        <family val="2"/>
      </rPr>
      <t>Retiro de perno</t>
    </r>
  </si>
  <si>
    <r>
      <rPr>
        <sz val="12"/>
        <rFont val="Arial"/>
        <family val="2"/>
      </rPr>
      <t>Retiro de perno complejo</t>
    </r>
  </si>
  <si>
    <r>
      <rPr>
        <b/>
        <sz val="12"/>
        <rFont val="Arial"/>
        <family val="2"/>
      </rPr>
      <t>BLANQUEAMIENTO</t>
    </r>
  </si>
  <si>
    <r>
      <rPr>
        <sz val="12"/>
        <rFont val="Arial"/>
        <family val="2"/>
      </rPr>
      <t>Blanqueamiento ambulatorio con placa</t>
    </r>
  </si>
  <si>
    <r>
      <rPr>
        <sz val="12"/>
        <rFont val="Arial"/>
        <family val="2"/>
      </rPr>
      <t>Blanqueamiento      instantáneo      en consultorio (2 sesiones)</t>
    </r>
  </si>
  <si>
    <r>
      <rPr>
        <sz val="12"/>
        <rFont val="Arial"/>
        <family val="2"/>
      </rPr>
      <t>Blanqueamiento interno (POS ENDO)</t>
    </r>
  </si>
  <si>
    <r>
      <rPr>
        <b/>
        <sz val="12"/>
        <rFont val="Arial"/>
        <family val="2"/>
      </rPr>
      <t>GENERALIDAES</t>
    </r>
  </si>
  <si>
    <r>
      <rPr>
        <sz val="12"/>
        <rFont val="Arial"/>
        <family val="2"/>
      </rPr>
      <t>Consulta odontológica clínica general</t>
    </r>
  </si>
  <si>
    <r>
      <rPr>
        <sz val="12"/>
        <rFont val="Arial"/>
        <family val="2"/>
      </rPr>
      <t>Limpieza de sarro superior e inferior</t>
    </r>
  </si>
  <si>
    <r>
      <rPr>
        <sz val="12"/>
        <rFont val="Arial"/>
        <family val="2"/>
      </rPr>
      <t>Limpieza periodontal aguda compleja por arcada</t>
    </r>
  </si>
  <si>
    <r>
      <rPr>
        <sz val="12"/>
        <rFont val="Arial"/>
        <family val="2"/>
      </rPr>
      <t>Profilaxis</t>
    </r>
  </si>
  <si>
    <r>
      <rPr>
        <sz val="12"/>
        <rFont val="Arial"/>
        <family val="2"/>
      </rPr>
      <t>Sellado de fosas y fisuras (anticaries) adultos</t>
    </r>
  </si>
  <si>
    <r>
      <rPr>
        <sz val="12"/>
        <rFont val="Arial"/>
        <family val="2"/>
      </rPr>
      <t>Fluorización gel /barniz</t>
    </r>
  </si>
  <si>
    <r>
      <rPr>
        <sz val="12"/>
        <rFont val="Arial"/>
        <family val="2"/>
      </rPr>
      <t>Ferulizacion</t>
    </r>
  </si>
  <si>
    <r>
      <rPr>
        <b/>
        <sz val="12"/>
        <rFont val="Arial"/>
        <family val="2"/>
      </rPr>
      <t>ODONTOPEDIATRIA</t>
    </r>
  </si>
  <si>
    <r>
      <rPr>
        <b/>
        <sz val="12"/>
        <color rgb="FFFFFFFF"/>
        <rFont val="Arial"/>
        <family val="2"/>
      </rPr>
      <t>PREVENCIÓN</t>
    </r>
  </si>
  <si>
    <r>
      <rPr>
        <sz val="12"/>
        <rFont val="Arial"/>
        <family val="2"/>
      </rPr>
      <t>SELLADO DE FOSAS Y FISURAS ANTICARIES (PEDIATRIA)</t>
    </r>
  </si>
  <si>
    <r>
      <rPr>
        <sz val="12"/>
        <rFont val="Arial"/>
        <family val="2"/>
      </rPr>
      <t>Fluorización gel/barniz</t>
    </r>
  </si>
  <si>
    <r>
      <rPr>
        <b/>
        <sz val="12"/>
        <color rgb="FFFFFFFF"/>
        <rFont val="Arial"/>
        <family val="2"/>
      </rPr>
      <t>CIRUGIA</t>
    </r>
  </si>
  <si>
    <r>
      <rPr>
        <sz val="12"/>
        <rFont val="Arial"/>
        <family val="2"/>
      </rPr>
      <t>Cirugía de dientes anteriores temporarios (pediatría)</t>
    </r>
  </si>
  <si>
    <r>
      <rPr>
        <sz val="12"/>
        <rFont val="Arial"/>
        <family val="2"/>
      </rPr>
      <t>Cirugía  convencional sin reabsorción (pediatría)</t>
    </r>
  </si>
  <si>
    <r>
      <rPr>
        <sz val="12"/>
        <rFont val="Arial"/>
        <family val="2"/>
      </rPr>
      <t>Cirugía pediátrica diente móvil (paciente colaborador)</t>
    </r>
  </si>
  <si>
    <r>
      <rPr>
        <sz val="12"/>
        <rFont val="Arial"/>
        <family val="2"/>
      </rPr>
      <t>Cirugía pediátrica diente móvil PNC (paciente no colaborador)</t>
    </r>
  </si>
  <si>
    <r>
      <rPr>
        <b/>
        <sz val="12"/>
        <color rgb="FFFFFFFF"/>
        <rFont val="Arial"/>
        <family val="2"/>
      </rPr>
      <t>ENDODONCIA</t>
    </r>
  </si>
  <si>
    <r>
      <rPr>
        <sz val="12"/>
        <rFont val="Arial"/>
        <family val="2"/>
      </rPr>
      <t>Hulectomia</t>
    </r>
  </si>
  <si>
    <r>
      <rPr>
        <sz val="12"/>
        <rFont val="Arial"/>
        <family val="2"/>
      </rPr>
      <t>Pulpotomia anterior</t>
    </r>
  </si>
  <si>
    <r>
      <rPr>
        <sz val="12"/>
        <rFont val="Arial"/>
        <family val="2"/>
      </rPr>
      <t>Pulpotomia posterior</t>
    </r>
  </si>
  <si>
    <r>
      <rPr>
        <sz val="12"/>
        <rFont val="Arial"/>
        <family val="2"/>
      </rPr>
      <t>Endodoncia dientes posteriores</t>
    </r>
  </si>
  <si>
    <r>
      <rPr>
        <sz val="12"/>
        <rFont val="Arial"/>
        <family val="2"/>
      </rPr>
      <t>Restauración con ionómero fuji 9 (ODONTOPEDIATRA)</t>
    </r>
  </si>
  <si>
    <r>
      <rPr>
        <b/>
        <sz val="12"/>
        <rFont val="Arial"/>
        <family val="2"/>
      </rPr>
      <t>ESTUDIOS PREVIOS</t>
    </r>
  </si>
  <si>
    <r>
      <rPr>
        <sz val="12"/>
        <color rgb="FFFFFFFF"/>
        <rFont val="Arial"/>
        <family val="2"/>
      </rPr>
      <t>EN CONSULTORIO</t>
    </r>
  </si>
  <si>
    <r>
      <rPr>
        <sz val="12"/>
        <rFont val="Arial"/>
        <family val="2"/>
      </rPr>
      <t>Radiografía periapical en consultorio UNA UNIDAD</t>
    </r>
  </si>
  <si>
    <r>
      <rPr>
        <sz val="12"/>
        <rFont val="Arial"/>
        <family val="2"/>
      </rPr>
      <t>Radiografía periapical en consultorio (a partir de 2 unidades )</t>
    </r>
  </si>
  <si>
    <r>
      <rPr>
        <sz val="12"/>
        <color rgb="FFFFFFFF"/>
        <rFont val="Arial"/>
        <family val="2"/>
      </rPr>
      <t>TERCIERIZADOS</t>
    </r>
  </si>
  <si>
    <r>
      <rPr>
        <b/>
        <sz val="12"/>
        <rFont val="Arial"/>
        <family val="2"/>
      </rPr>
      <t>-</t>
    </r>
  </si>
  <si>
    <r>
      <rPr>
        <sz val="12"/>
        <rFont val="Arial"/>
        <family val="2"/>
      </rPr>
      <t>Tomografía</t>
    </r>
  </si>
  <si>
    <r>
      <rPr>
        <b/>
        <sz val="12"/>
        <rFont val="Arial"/>
        <family val="2"/>
      </rPr>
      <t>IMPLANTES</t>
    </r>
  </si>
  <si>
    <r>
      <rPr>
        <sz val="12"/>
        <rFont val="Arial"/>
        <family val="2"/>
      </rPr>
      <t>Prótesis protocolo por arcada</t>
    </r>
  </si>
  <si>
    <r>
      <rPr>
        <sz val="12"/>
        <rFont val="Arial"/>
        <family val="2"/>
      </rPr>
      <t>Implante por pieza dental</t>
    </r>
  </si>
  <si>
    <r>
      <rPr>
        <sz val="12"/>
        <rFont val="Arial"/>
        <family val="2"/>
      </rPr>
      <t>Pieza de corona sobre implante atornillado porcelana pura (LABORATORIO)</t>
    </r>
  </si>
  <si>
    <r>
      <rPr>
        <sz val="12"/>
        <rFont val="Arial"/>
        <family val="2"/>
      </rPr>
      <t>Pieza de corona sobre implante atornillado metal porcelana (LABORATORIO)</t>
    </r>
  </si>
  <si>
    <r>
      <rPr>
        <sz val="12"/>
        <rFont val="Arial"/>
        <family val="2"/>
      </rPr>
      <t>Pieza de corona sobre implante cementado metal porcelana (LABORATORIO)</t>
    </r>
  </si>
  <si>
    <r>
      <rPr>
        <sz val="12"/>
        <rFont val="Arial"/>
        <family val="2"/>
      </rPr>
      <t>Pieza de corona sobre implante cementado porcelana pura (LABORATORIO)</t>
    </r>
  </si>
  <si>
    <r>
      <rPr>
        <sz val="12"/>
        <rFont val="Arial"/>
        <family val="2"/>
      </rPr>
      <t>Relleno óseo</t>
    </r>
  </si>
  <si>
    <r>
      <rPr>
        <b/>
        <sz val="12"/>
        <rFont val="Arial"/>
        <family val="2"/>
      </rPr>
      <t>ODONTOLOGÍA ESTÉTICA</t>
    </r>
  </si>
  <si>
    <r>
      <rPr>
        <sz val="12"/>
        <rFont val="Arial"/>
        <family val="2"/>
      </rPr>
      <t>Carilla de cerómero</t>
    </r>
  </si>
  <si>
    <r>
      <rPr>
        <sz val="12"/>
        <rFont val="Arial"/>
        <family val="2"/>
      </rPr>
      <t>Carilla y lente de contacto (zirconio)</t>
    </r>
  </si>
  <si>
    <r>
      <rPr>
        <sz val="12"/>
        <rFont val="Arial"/>
        <family val="2"/>
      </rPr>
      <t>Corona de zirconio</t>
    </r>
  </si>
  <si>
    <r>
      <rPr>
        <sz val="12"/>
        <rFont val="Arial"/>
        <family val="2"/>
      </rPr>
      <t>Corona metal cerámico</t>
    </r>
  </si>
  <si>
    <r>
      <rPr>
        <sz val="12"/>
        <rFont val="Arial"/>
        <family val="2"/>
      </rPr>
      <t>Corona metal porcelana</t>
    </r>
  </si>
  <si>
    <t>300.000GS</t>
  </si>
  <si>
    <t xml:space="preserve">400.000 GS </t>
  </si>
  <si>
    <t>450.000GS</t>
  </si>
  <si>
    <t xml:space="preserve">250.000GS </t>
  </si>
  <si>
    <t xml:space="preserve">450.000GS </t>
  </si>
  <si>
    <t>30.000GS</t>
  </si>
  <si>
    <t>350.000GS</t>
  </si>
  <si>
    <t>700.000GS</t>
  </si>
  <si>
    <t>150.000GS</t>
  </si>
  <si>
    <t>850.000GS</t>
  </si>
  <si>
    <t>1850.000GS</t>
  </si>
  <si>
    <t>1000.000GS</t>
  </si>
  <si>
    <t>2.200.000GS</t>
  </si>
  <si>
    <t>900.000GS</t>
  </si>
  <si>
    <t>1200.000GS</t>
  </si>
  <si>
    <t>200.000GS</t>
  </si>
  <si>
    <t>850.000 GS</t>
  </si>
  <si>
    <t>1700.000 GS</t>
  </si>
  <si>
    <t>1700.000GS</t>
  </si>
  <si>
    <t>950.000GS</t>
  </si>
  <si>
    <t>500.000GS</t>
  </si>
  <si>
    <t>1600.000GS</t>
  </si>
  <si>
    <t>600.000GS</t>
  </si>
  <si>
    <t>400.000GS</t>
  </si>
  <si>
    <t>1500.000GS</t>
  </si>
  <si>
    <t>4000.000GS</t>
  </si>
  <si>
    <t>250.000GS</t>
  </si>
  <si>
    <t>2000.000GS</t>
  </si>
  <si>
    <t>5.400.000GS</t>
  </si>
  <si>
    <t>7.600.000GS</t>
  </si>
  <si>
    <t>100.000GS</t>
  </si>
  <si>
    <t>5.200.000GS</t>
  </si>
  <si>
    <t>10.000.000GS</t>
  </si>
  <si>
    <t>1.500.000GS</t>
  </si>
  <si>
    <t>200.000gs</t>
  </si>
  <si>
    <t>1.800.000GS</t>
  </si>
  <si>
    <t>800.000GS</t>
  </si>
  <si>
    <t>2.500.00GS</t>
  </si>
  <si>
    <t>1.750.000GS</t>
  </si>
  <si>
    <t>2.700.00GS</t>
  </si>
  <si>
    <t>1.250.000GS</t>
  </si>
  <si>
    <t>2.650.000GS</t>
  </si>
  <si>
    <t>CÒDIGO</t>
  </si>
  <si>
    <t xml:space="preserve">PRECIOS </t>
  </si>
  <si>
    <t>PRECIOS</t>
  </si>
  <si>
    <t>OBS: SOLICITAR IMPRESA PARA PACIENTES QUE VAN A REALIZARSE EXODONCIA DE TERCEROS MOLARES</t>
  </si>
  <si>
    <r>
      <rPr>
        <sz val="8"/>
        <rFont val="Arial"/>
        <family val="2"/>
      </rPr>
      <t>34
OBS</t>
    </r>
    <r>
      <rPr>
        <b/>
        <sz val="8"/>
        <rFont val="Arial"/>
        <family val="2"/>
      </rPr>
      <t>: SE PRESUPUESTA POR UNIDAD.</t>
    </r>
  </si>
  <si>
    <t>122(x3)
Obs: si son más de tres piezas, se coloca la cantidad de piezas entre paréntesis. Ej.: 3 pilares y dos pónticos: 122(x5).</t>
  </si>
  <si>
    <t>1.200.000GS</t>
  </si>
  <si>
    <t>1.850.000GS</t>
  </si>
  <si>
    <t>2000.000 GS</t>
  </si>
  <si>
    <t>LIMPIEZA DE SARRO</t>
  </si>
  <si>
    <r>
      <rPr>
        <sz val="12"/>
        <color rgb="FF000000"/>
        <rFont val="Arial"/>
        <family val="2"/>
      </rPr>
      <t>PROFILAXIS</t>
    </r>
    <r>
      <rPr>
        <sz val="10"/>
        <color rgb="FF000000"/>
        <rFont val="Times New Roman"/>
        <charset val="204"/>
      </rPr>
      <t xml:space="preserve"> </t>
    </r>
  </si>
  <si>
    <t>Anterior clase III caries</t>
  </si>
  <si>
    <t>En la cuidad de Coronoel Oviedo, a los ___________días del mes de _________________________de _______________, comparece por una parte la Clínica:_______________________________________________________________ubicado en las calles_________________________________________________________________y por otra parte, en adelante el/la paciente con C.I. Nº,____________________________con dirección en la casa de las calles_______________________________________________ de la ciudad de __________________________________(en caso de que el/la paciente sea menor de edad) es representado/a en este acto por (madre/ padre/ tutor/a__________________________________________________con C.I.Nº_________________________quienes convienes la celebración del presente contrato de prestación de servicios profesionales odontológicos, con la siguientes clausulas;</t>
  </si>
  <si>
    <t>PRIMERA CLAUSULA: El paciente fue debidamente informado sobre el propósito, riesgo y alternativas de tratamiento y que la odontología no es una ciencia exacta y que los resultados esperados a partir del diagnóstico podrá no ser concretizado observando la respuesta biológica del paciente y de la propia limitación de la ciencia, Los tratamientos realizados tendrán garantía de calidad a usos adecuados  y siguiendo las instrucciones del odontólogo cirujano, no tendrá garantía al desgaste en el uso y deterioro norma del material utilizado, ni a los accidentes y fracturas de restauración , prótesis, puentes, debidamente realizados, serán de entera responsabilidad del cuidado del paciente, El paciente no deberá tener hábitos perjudiciales que dañen sus dientes o practicar actividades que le pueda golpear áreas de la boca como futbol, boxeo, paddle, tenis, deportes diversos, ect., Y si lo hiciere la clínica no será responsable.-</t>
  </si>
  <si>
    <t>SEGUNDA CLAUSULA: El/la Odontóloga se compromete a ejecutar el tratamiento necesario observando las más alta normas de calidad y profesionalismo que establece el código de ética. -</t>
  </si>
  <si>
    <t xml:space="preserve">TERCERA CLAUSULA: EL/ la paciente se compromete a mantener los pagoS mensuales consecutivos, del tratamiento que se le realizara y por el alquiler del espacio que se le brinda durante su tratamiento, en caso del incumplimiento en el pago este a su vez genera interés. Llegando a los 90 días de retraso de manera automática el paciente ingresara a la base de datos de informconf. </t>
  </si>
  <si>
    <t>CUARTA CLAUSULA: El/la odontólogo/a se compromete a utilizar los estándares de higiene y esterilización que exige el Ministerio de Salud Pública y Bienestar Social.</t>
  </si>
  <si>
    <t>QUINTA CLAUSULA: Si el paciente suspendiera temporalmente el tratamiento faltando a sus citas por causas de diversas índoles, incluyendo la interrupción por falta de cumplimiento en los pagos pactados, se hará responsable el/ la mismo/a de las consecuencias que puedan presentarse en su salud bucal.</t>
  </si>
  <si>
    <t>VTO 6/12/2025</t>
  </si>
  <si>
    <t>0/32 : 150.000GS</t>
  </si>
  <si>
    <t>1500.000gs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</si>
</sst>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0;###0"/>
    <numFmt numFmtId="165" formatCode="###00;###00"/>
    <numFmt numFmtId="166" formatCode="###000;###000"/>
  </numFmts>
  <fonts count="24" x14ac:knownFonts="1">
    <font>
      <sz val="10"/>
      <color rgb="FF000000"/>
      <name val="Times New Roman"/>
      <charset val="204"/>
    </font>
    <font>
      <b/>
      <sz val="12"/>
      <name val="Arial"/>
    </font>
    <font>
      <b/>
      <sz val="11"/>
      <name val="Arial"/>
    </font>
    <font>
      <sz val="12"/>
      <name val="Arial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2"/>
      <color rgb="FFFFFFFF"/>
      <name val="Arial"/>
      <family val="2"/>
    </font>
    <font>
      <sz val="12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Arial"/>
      <family val="2"/>
    </font>
    <font>
      <sz val="8"/>
      <color rgb="FF000000"/>
      <name val="Arial Narrow"/>
      <family val="2"/>
    </font>
    <font>
      <sz val="9"/>
      <color rgb="FF000000"/>
      <name val="Arial Narrow"/>
      <family val="2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D56C4"/>
      </patternFill>
    </fill>
    <fill>
      <patternFill patternType="solid">
        <fgColor rgb="FFA7CBEE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1" fillId="4" borderId="6" xfId="0" applyFont="1" applyFill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3" fillId="5" borderId="5" xfId="0" applyFont="1" applyFill="1" applyBorder="1" applyAlignment="1">
      <alignment horizontal="left" vertical="top"/>
    </xf>
    <xf numFmtId="0" fontId="0" fillId="5" borderId="5" xfId="0" applyFill="1" applyBorder="1" applyAlignment="1">
      <alignment horizontal="left" vertical="top"/>
    </xf>
    <xf numFmtId="3" fontId="12" fillId="0" borderId="6" xfId="0" applyNumberFormat="1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3" fontId="0" fillId="0" borderId="0" xfId="0" applyNumberFormat="1" applyAlignment="1">
      <alignment horizontal="left" vertical="top"/>
    </xf>
    <xf numFmtId="3" fontId="12" fillId="0" borderId="10" xfId="0" applyNumberFormat="1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3" fontId="19" fillId="0" borderId="5" xfId="0" applyNumberFormat="1" applyFont="1" applyBorder="1" applyAlignment="1">
      <alignment horizontal="left" vertical="top"/>
    </xf>
    <xf numFmtId="3" fontId="12" fillId="0" borderId="15" xfId="0" applyNumberFormat="1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center" vertical="top" wrapText="1"/>
    </xf>
    <xf numFmtId="164" fontId="4" fillId="0" borderId="4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165" fontId="4" fillId="0" borderId="2" xfId="0" applyNumberFormat="1" applyFont="1" applyBorder="1" applyAlignment="1">
      <alignment horizontal="center" vertical="top" wrapText="1"/>
    </xf>
    <xf numFmtId="165" fontId="4" fillId="0" borderId="4" xfId="0" applyNumberFormat="1" applyFont="1" applyBorder="1" applyAlignment="1">
      <alignment horizontal="center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center" vertical="top" wrapText="1"/>
    </xf>
    <xf numFmtId="164" fontId="5" fillId="0" borderId="4" xfId="0" applyNumberFormat="1" applyFont="1" applyBorder="1" applyAlignment="1">
      <alignment horizontal="center" vertical="top" wrapText="1"/>
    </xf>
    <xf numFmtId="166" fontId="4" fillId="0" borderId="2" xfId="0" applyNumberFormat="1" applyFont="1" applyBorder="1" applyAlignment="1">
      <alignment horizontal="center" vertical="top" wrapText="1"/>
    </xf>
    <xf numFmtId="166" fontId="4" fillId="0" borderId="4" xfId="0" applyNumberFormat="1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top" wrapText="1"/>
    </xf>
    <xf numFmtId="0" fontId="9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center" vertical="top" wrapText="1"/>
    </xf>
    <xf numFmtId="164" fontId="4" fillId="0" borderId="14" xfId="0" applyNumberFormat="1" applyFont="1" applyBorder="1" applyAlignment="1">
      <alignment horizontal="center" vertical="top" wrapText="1"/>
    </xf>
    <xf numFmtId="0" fontId="20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1" fillId="0" borderId="0" xfId="0" applyFont="1" applyAlignment="1">
      <alignment horizontal="left" vertical="top" wrapText="1"/>
    </xf>
    <xf numFmtId="0" fontId="22" fillId="0" borderId="0" xfId="0" applyFont="1" applyAlignment="1">
      <alignment vertical="center"/>
    </xf>
    <xf numFmtId="164" fontId="4" fillId="0" borderId="17" xfId="0" applyNumberFormat="1" applyFont="1" applyBorder="1" applyAlignment="1">
      <alignment horizontal="center" vertical="top" wrapText="1"/>
    </xf>
    <xf numFmtId="3" fontId="12" fillId="0" borderId="5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topLeftCell="A91" workbookViewId="0">
      <selection activeCell="A106" sqref="A106:F106"/>
    </sheetView>
  </sheetViews>
  <sheetFormatPr baseColWidth="10" defaultColWidth="9.33203125" defaultRowHeight="12.75" x14ac:dyDescent="0.2"/>
  <cols>
    <col min="1" max="1" width="48.5" customWidth="1"/>
    <col min="2" max="3" width="1.1640625" customWidth="1"/>
    <col min="4" max="4" width="21" customWidth="1"/>
    <col min="5" max="5" width="0.1640625" customWidth="1"/>
    <col min="6" max="6" width="17.1640625" customWidth="1"/>
    <col min="7" max="7" width="1.1640625" customWidth="1"/>
    <col min="8" max="8" width="10.5" customWidth="1"/>
  </cols>
  <sheetData>
    <row r="1" spans="1:6" ht="17.100000000000001" customHeight="1" x14ac:dyDescent="0.2">
      <c r="A1" s="1" t="s">
        <v>0</v>
      </c>
    </row>
    <row r="2" spans="1:6" ht="15" customHeight="1" x14ac:dyDescent="0.2">
      <c r="A2" s="25" t="s">
        <v>1</v>
      </c>
      <c r="B2" s="26"/>
      <c r="C2" s="27" t="s">
        <v>262</v>
      </c>
      <c r="D2" s="28"/>
      <c r="E2" s="8" t="s">
        <v>263</v>
      </c>
      <c r="F2" s="14"/>
    </row>
    <row r="3" spans="1:6" ht="15" customHeight="1" x14ac:dyDescent="0.2">
      <c r="A3" s="29" t="s">
        <v>273</v>
      </c>
      <c r="B3" s="30"/>
      <c r="C3" s="31">
        <v>15</v>
      </c>
      <c r="D3" s="32"/>
      <c r="E3" s="12" t="s">
        <v>220</v>
      </c>
      <c r="F3" s="10"/>
    </row>
    <row r="4" spans="1:6" ht="15" customHeight="1" x14ac:dyDescent="0.2">
      <c r="A4" s="33" t="s">
        <v>2</v>
      </c>
      <c r="B4" s="30"/>
      <c r="C4" s="31">
        <v>26</v>
      </c>
      <c r="D4" s="32"/>
      <c r="E4" s="12" t="s">
        <v>221</v>
      </c>
      <c r="F4" s="10"/>
    </row>
    <row r="5" spans="1:6" ht="15" customHeight="1" x14ac:dyDescent="0.2">
      <c r="A5" s="33" t="s">
        <v>3</v>
      </c>
      <c r="B5" s="30"/>
      <c r="C5" s="31">
        <v>223</v>
      </c>
      <c r="D5" s="32"/>
      <c r="E5" s="12" t="s">
        <v>222</v>
      </c>
      <c r="F5" s="10"/>
    </row>
    <row r="6" spans="1:6" ht="15" customHeight="1" x14ac:dyDescent="0.2">
      <c r="A6" s="33" t="s">
        <v>4</v>
      </c>
      <c r="B6" s="30"/>
      <c r="C6" s="34">
        <v>8</v>
      </c>
      <c r="D6" s="35"/>
      <c r="E6" s="12" t="s">
        <v>223</v>
      </c>
      <c r="F6" s="10"/>
    </row>
    <row r="7" spans="1:6" ht="30" customHeight="1" x14ac:dyDescent="0.2">
      <c r="A7" s="33" t="s">
        <v>5</v>
      </c>
      <c r="B7" s="30"/>
      <c r="C7" s="31">
        <v>304</v>
      </c>
      <c r="D7" s="32"/>
      <c r="E7" s="12"/>
      <c r="F7" s="10"/>
    </row>
    <row r="8" spans="1:6" ht="27.95" customHeight="1" x14ac:dyDescent="0.2">
      <c r="A8" s="25" t="s">
        <v>6</v>
      </c>
      <c r="B8" s="26"/>
      <c r="C8" s="36"/>
      <c r="D8" s="37"/>
      <c r="E8" s="12"/>
      <c r="F8" s="10"/>
    </row>
    <row r="9" spans="1:6" ht="15" customHeight="1" x14ac:dyDescent="0.2">
      <c r="A9" s="33" t="s">
        <v>7</v>
      </c>
      <c r="B9" s="30"/>
      <c r="C9" s="31">
        <v>16</v>
      </c>
      <c r="D9" s="32"/>
      <c r="E9" s="12" t="s">
        <v>224</v>
      </c>
      <c r="F9" s="10"/>
    </row>
    <row r="10" spans="1:6" ht="15" customHeight="1" x14ac:dyDescent="0.2">
      <c r="A10" s="33" t="s">
        <v>8</v>
      </c>
      <c r="B10" s="30"/>
      <c r="C10" s="31">
        <v>233</v>
      </c>
      <c r="D10" s="32"/>
      <c r="E10" s="12" t="s">
        <v>225</v>
      </c>
      <c r="F10" s="9" t="s">
        <v>220</v>
      </c>
    </row>
    <row r="11" spans="1:6" ht="30" customHeight="1" x14ac:dyDescent="0.2">
      <c r="A11" s="33" t="s">
        <v>9</v>
      </c>
      <c r="B11" s="30"/>
      <c r="C11" s="31">
        <v>17</v>
      </c>
      <c r="D11" s="32"/>
      <c r="E11" s="12" t="s">
        <v>220</v>
      </c>
      <c r="F11" s="10"/>
    </row>
    <row r="12" spans="1:6" ht="15" customHeight="1" x14ac:dyDescent="0.2">
      <c r="A12" s="33" t="s">
        <v>10</v>
      </c>
      <c r="B12" s="30"/>
      <c r="C12" s="31">
        <v>173</v>
      </c>
      <c r="D12" s="32"/>
      <c r="E12" s="12" t="s">
        <v>223</v>
      </c>
      <c r="F12" s="10"/>
    </row>
    <row r="13" spans="1:6" ht="15" customHeight="1" x14ac:dyDescent="0.2">
      <c r="A13" s="33" t="s">
        <v>11</v>
      </c>
      <c r="B13" s="30"/>
      <c r="C13" s="31">
        <v>50</v>
      </c>
      <c r="D13" s="32"/>
      <c r="E13" s="12" t="s">
        <v>226</v>
      </c>
      <c r="F13" s="10"/>
    </row>
    <row r="14" spans="1:6" ht="30" customHeight="1" x14ac:dyDescent="0.2">
      <c r="A14" s="38" t="s">
        <v>12</v>
      </c>
      <c r="B14" s="39"/>
      <c r="C14" s="36"/>
      <c r="D14" s="37"/>
      <c r="E14" s="12"/>
      <c r="F14" s="10"/>
    </row>
    <row r="15" spans="1:6" ht="30" customHeight="1" x14ac:dyDescent="0.2">
      <c r="A15" s="33" t="s">
        <v>13</v>
      </c>
      <c r="B15" s="30"/>
      <c r="C15" s="31">
        <v>97</v>
      </c>
      <c r="D15" s="32"/>
      <c r="E15" s="12" t="s">
        <v>227</v>
      </c>
      <c r="F15" s="10"/>
    </row>
    <row r="16" spans="1:6" ht="30" customHeight="1" x14ac:dyDescent="0.2">
      <c r="A16" s="33" t="s">
        <v>14</v>
      </c>
      <c r="B16" s="30"/>
      <c r="C16" s="31">
        <v>52</v>
      </c>
      <c r="D16" s="32"/>
      <c r="E16" s="12" t="s">
        <v>228</v>
      </c>
      <c r="F16" s="9" t="s">
        <v>282</v>
      </c>
    </row>
    <row r="17" spans="1:6" ht="30" customHeight="1" x14ac:dyDescent="0.2">
      <c r="A17" s="33" t="s">
        <v>15</v>
      </c>
      <c r="B17" s="30"/>
      <c r="C17" s="31">
        <v>66</v>
      </c>
      <c r="D17" s="32"/>
      <c r="E17" s="12" t="s">
        <v>229</v>
      </c>
      <c r="F17" s="10"/>
    </row>
    <row r="18" spans="1:6" ht="30" customHeight="1" x14ac:dyDescent="0.2">
      <c r="A18" s="33" t="s">
        <v>16</v>
      </c>
      <c r="B18" s="30"/>
      <c r="C18" s="31">
        <v>49</v>
      </c>
      <c r="D18" s="32"/>
      <c r="E18" s="12" t="s">
        <v>230</v>
      </c>
      <c r="F18" s="9" t="s">
        <v>269</v>
      </c>
    </row>
    <row r="19" spans="1:6" ht="30" customHeight="1" x14ac:dyDescent="0.2">
      <c r="A19" s="33" t="s">
        <v>17</v>
      </c>
      <c r="B19" s="30"/>
      <c r="C19" s="31">
        <v>222</v>
      </c>
      <c r="D19" s="32"/>
      <c r="E19" s="12" t="s">
        <v>231</v>
      </c>
      <c r="F19" s="10"/>
    </row>
    <row r="20" spans="1:6" ht="30" customHeight="1" x14ac:dyDescent="0.2">
      <c r="A20" s="33" t="s">
        <v>18</v>
      </c>
      <c r="B20" s="30"/>
      <c r="C20" s="31">
        <v>43</v>
      </c>
      <c r="D20" s="32"/>
      <c r="E20" s="12" t="s">
        <v>232</v>
      </c>
      <c r="F20" s="10"/>
    </row>
    <row r="21" spans="1:6" ht="30" customHeight="1" x14ac:dyDescent="0.2">
      <c r="A21" s="33" t="s">
        <v>19</v>
      </c>
      <c r="B21" s="30"/>
      <c r="C21" s="31">
        <v>172</v>
      </c>
      <c r="D21" s="32"/>
      <c r="E21" s="12" t="s">
        <v>233</v>
      </c>
      <c r="F21" s="10"/>
    </row>
    <row r="22" spans="1:6" ht="30" customHeight="1" x14ac:dyDescent="0.2">
      <c r="A22" s="33" t="s">
        <v>20</v>
      </c>
      <c r="B22" s="30"/>
      <c r="C22" s="31">
        <v>42</v>
      </c>
      <c r="D22" s="32"/>
      <c r="E22" s="12" t="s">
        <v>234</v>
      </c>
      <c r="F22" s="9" t="s">
        <v>268</v>
      </c>
    </row>
    <row r="23" spans="1:6" ht="15" customHeight="1" x14ac:dyDescent="0.2">
      <c r="A23" s="38" t="s">
        <v>21</v>
      </c>
      <c r="B23" s="39"/>
      <c r="C23" s="36"/>
      <c r="D23" s="37"/>
      <c r="E23" s="12"/>
      <c r="F23" s="10"/>
    </row>
    <row r="24" spans="1:6" ht="15" customHeight="1" x14ac:dyDescent="0.2">
      <c r="A24" s="33" t="s">
        <v>22</v>
      </c>
      <c r="B24" s="30"/>
      <c r="C24" s="31">
        <v>224</v>
      </c>
      <c r="D24" s="32"/>
      <c r="E24" s="12" t="s">
        <v>220</v>
      </c>
      <c r="F24" s="10"/>
    </row>
    <row r="25" spans="1:6" ht="15" customHeight="1" x14ac:dyDescent="0.2">
      <c r="A25" s="33" t="s">
        <v>23</v>
      </c>
      <c r="B25" s="30"/>
      <c r="C25" s="31">
        <v>225</v>
      </c>
      <c r="D25" s="32"/>
      <c r="E25" s="12" t="s">
        <v>226</v>
      </c>
      <c r="F25" s="10"/>
    </row>
    <row r="26" spans="1:6" ht="30" customHeight="1" x14ac:dyDescent="0.2">
      <c r="A26" s="33" t="s">
        <v>24</v>
      </c>
      <c r="B26" s="30"/>
      <c r="C26" s="31">
        <v>221</v>
      </c>
      <c r="D26" s="32"/>
      <c r="E26" s="12" t="s">
        <v>226</v>
      </c>
      <c r="F26" s="10"/>
    </row>
    <row r="27" spans="1:6" ht="15" customHeight="1" x14ac:dyDescent="0.2">
      <c r="A27" s="33" t="s">
        <v>25</v>
      </c>
      <c r="B27" s="30"/>
      <c r="C27" s="31">
        <v>29</v>
      </c>
      <c r="D27" s="32"/>
      <c r="E27" s="12"/>
      <c r="F27" s="10"/>
    </row>
    <row r="28" spans="1:6" ht="15" customHeight="1" x14ac:dyDescent="0.2">
      <c r="A28" s="33" t="s">
        <v>26</v>
      </c>
      <c r="B28" s="30"/>
      <c r="C28" s="31">
        <v>47</v>
      </c>
      <c r="D28" s="32"/>
      <c r="E28" s="12"/>
      <c r="F28" s="10"/>
    </row>
    <row r="29" spans="1:6" ht="15" customHeight="1" x14ac:dyDescent="0.2">
      <c r="A29" s="33" t="s">
        <v>27</v>
      </c>
      <c r="B29" s="30"/>
      <c r="C29" s="31">
        <v>28</v>
      </c>
      <c r="D29" s="32"/>
      <c r="E29" s="12" t="s">
        <v>220</v>
      </c>
      <c r="F29" s="10"/>
    </row>
    <row r="30" spans="1:6" ht="17.100000000000001" customHeight="1" x14ac:dyDescent="0.2">
      <c r="A30" s="1" t="s">
        <v>28</v>
      </c>
      <c r="E30" s="12"/>
      <c r="F30" s="10"/>
    </row>
    <row r="31" spans="1:6" ht="15" customHeight="1" x14ac:dyDescent="0.2">
      <c r="A31" s="33" t="s">
        <v>29</v>
      </c>
      <c r="B31" s="30"/>
      <c r="C31" s="34">
        <v>7</v>
      </c>
      <c r="D31" s="35"/>
      <c r="E31" s="12" t="s">
        <v>222</v>
      </c>
      <c r="F31" s="10"/>
    </row>
    <row r="32" spans="1:6" ht="15" customHeight="1" x14ac:dyDescent="0.2">
      <c r="A32" s="33" t="s">
        <v>30</v>
      </c>
      <c r="B32" s="30"/>
      <c r="C32" s="31">
        <v>88</v>
      </c>
      <c r="D32" s="32"/>
      <c r="E32" s="12" t="s">
        <v>235</v>
      </c>
      <c r="F32" s="10"/>
    </row>
    <row r="33" spans="1:6" ht="15" customHeight="1" x14ac:dyDescent="0.2">
      <c r="A33" s="33" t="s">
        <v>31</v>
      </c>
      <c r="B33" s="30"/>
      <c r="C33" s="31">
        <v>56</v>
      </c>
      <c r="D33" s="32"/>
      <c r="E33" s="12" t="s">
        <v>220</v>
      </c>
      <c r="F33" s="10"/>
    </row>
    <row r="34" spans="1:6" ht="15" customHeight="1" x14ac:dyDescent="0.2">
      <c r="A34" s="33" t="s">
        <v>32</v>
      </c>
      <c r="B34" s="30"/>
      <c r="C34" s="40"/>
      <c r="D34" s="41"/>
      <c r="E34" s="12"/>
      <c r="F34" s="10"/>
    </row>
    <row r="35" spans="1:6" ht="15" customHeight="1" x14ac:dyDescent="0.2">
      <c r="A35" s="33" t="s">
        <v>33</v>
      </c>
      <c r="B35" s="30"/>
      <c r="C35" s="40"/>
      <c r="D35" s="41"/>
      <c r="E35" s="12"/>
      <c r="F35" s="10"/>
    </row>
    <row r="36" spans="1:6" ht="30" customHeight="1" x14ac:dyDescent="0.2">
      <c r="A36" s="33" t="s">
        <v>34</v>
      </c>
      <c r="B36" s="30"/>
      <c r="C36" s="40"/>
      <c r="D36" s="41"/>
      <c r="E36" s="12"/>
      <c r="F36" s="10"/>
    </row>
    <row r="37" spans="1:6" ht="15" customHeight="1" x14ac:dyDescent="0.2">
      <c r="A37" s="33" t="s">
        <v>35</v>
      </c>
      <c r="B37" s="30"/>
      <c r="C37" s="31">
        <v>53</v>
      </c>
      <c r="D37" s="32"/>
      <c r="E37" s="12"/>
      <c r="F37" s="10"/>
    </row>
    <row r="38" spans="1:6" ht="15" customHeight="1" x14ac:dyDescent="0.2">
      <c r="A38" s="33" t="s">
        <v>36</v>
      </c>
      <c r="B38" s="30"/>
      <c r="C38" s="40"/>
      <c r="D38" s="41"/>
      <c r="E38" s="12"/>
      <c r="F38" s="10"/>
    </row>
    <row r="39" spans="1:6" ht="15" customHeight="1" x14ac:dyDescent="0.2">
      <c r="A39" s="33" t="s">
        <v>37</v>
      </c>
      <c r="B39" s="30"/>
      <c r="C39" s="31">
        <v>189</v>
      </c>
      <c r="D39" s="32"/>
      <c r="E39" s="12"/>
      <c r="F39" s="10"/>
    </row>
    <row r="40" spans="1:6" ht="15" customHeight="1" x14ac:dyDescent="0.2">
      <c r="A40" s="33" t="s">
        <v>38</v>
      </c>
      <c r="B40" s="30"/>
      <c r="C40" s="31">
        <v>21</v>
      </c>
      <c r="D40" s="32"/>
      <c r="E40" s="12"/>
      <c r="F40" s="10"/>
    </row>
    <row r="41" spans="1:6" ht="15" customHeight="1" x14ac:dyDescent="0.2">
      <c r="A41" s="33" t="s">
        <v>39</v>
      </c>
      <c r="B41" s="30"/>
      <c r="C41" s="31">
        <v>156</v>
      </c>
      <c r="D41" s="32"/>
      <c r="E41" s="12"/>
      <c r="F41" s="10"/>
    </row>
    <row r="42" spans="1:6" ht="15" customHeight="1" x14ac:dyDescent="0.2">
      <c r="A42" s="33" t="s">
        <v>40</v>
      </c>
      <c r="B42" s="30"/>
      <c r="C42" s="31">
        <v>189</v>
      </c>
      <c r="D42" s="32"/>
      <c r="E42" s="12"/>
      <c r="F42" s="10"/>
    </row>
    <row r="43" spans="1:6" ht="15" customHeight="1" x14ac:dyDescent="0.2">
      <c r="A43" s="33" t="s">
        <v>41</v>
      </c>
      <c r="B43" s="30"/>
      <c r="C43" s="31">
        <v>13</v>
      </c>
      <c r="D43" s="32"/>
      <c r="E43" s="12"/>
      <c r="F43" s="10"/>
    </row>
    <row r="44" spans="1:6" ht="15" customHeight="1" x14ac:dyDescent="0.2">
      <c r="A44" s="33" t="s">
        <v>42</v>
      </c>
      <c r="B44" s="30"/>
      <c r="C44" s="31">
        <v>188</v>
      </c>
      <c r="D44" s="32"/>
      <c r="E44" s="12"/>
      <c r="F44" s="10"/>
    </row>
    <row r="45" spans="1:6" ht="15" customHeight="1" x14ac:dyDescent="0.2">
      <c r="A45" s="38" t="s">
        <v>43</v>
      </c>
      <c r="B45" s="39"/>
      <c r="C45" s="36"/>
      <c r="D45" s="37"/>
      <c r="E45" s="12"/>
      <c r="F45" s="10"/>
    </row>
    <row r="46" spans="1:6" ht="15" customHeight="1" x14ac:dyDescent="0.2">
      <c r="A46" s="33" t="s">
        <v>44</v>
      </c>
      <c r="B46" s="30"/>
      <c r="C46" s="31">
        <v>69</v>
      </c>
      <c r="D46" s="32"/>
      <c r="E46" s="12" t="s">
        <v>228</v>
      </c>
      <c r="F46" s="10"/>
    </row>
    <row r="47" spans="1:6" ht="15" customHeight="1" x14ac:dyDescent="0.2">
      <c r="A47" s="33" t="s">
        <v>45</v>
      </c>
      <c r="B47" s="30"/>
      <c r="C47" s="31">
        <v>33</v>
      </c>
      <c r="D47" s="32"/>
      <c r="E47" s="12" t="s">
        <v>228</v>
      </c>
      <c r="F47" s="10"/>
    </row>
    <row r="48" spans="1:6" ht="15" customHeight="1" x14ac:dyDescent="0.2">
      <c r="A48" s="33" t="s">
        <v>46</v>
      </c>
      <c r="B48" s="30"/>
      <c r="C48" s="31">
        <v>166</v>
      </c>
      <c r="D48" s="32"/>
      <c r="E48" s="12" t="s">
        <v>236</v>
      </c>
      <c r="F48" s="10"/>
    </row>
    <row r="49" spans="1:6" ht="15" customHeight="1" x14ac:dyDescent="0.2">
      <c r="A49" s="33" t="s">
        <v>47</v>
      </c>
      <c r="B49" s="30"/>
      <c r="C49" s="31">
        <v>23</v>
      </c>
      <c r="D49" s="32"/>
      <c r="E49" s="12" t="s">
        <v>237</v>
      </c>
      <c r="F49" s="10"/>
    </row>
    <row r="50" spans="1:6" ht="15" customHeight="1" x14ac:dyDescent="0.2">
      <c r="A50" s="33" t="s">
        <v>48</v>
      </c>
      <c r="B50" s="30"/>
      <c r="C50" s="31">
        <v>230</v>
      </c>
      <c r="D50" s="32"/>
      <c r="E50" s="12" t="s">
        <v>238</v>
      </c>
      <c r="F50" s="10"/>
    </row>
    <row r="51" spans="1:6" ht="15" customHeight="1" x14ac:dyDescent="0.2">
      <c r="A51" s="33" t="s">
        <v>49</v>
      </c>
      <c r="B51" s="30"/>
      <c r="C51" s="31">
        <v>75</v>
      </c>
      <c r="D51" s="32"/>
      <c r="E51" s="12" t="s">
        <v>239</v>
      </c>
      <c r="F51" s="10"/>
    </row>
    <row r="52" spans="1:6" ht="15" customHeight="1" x14ac:dyDescent="0.2">
      <c r="A52" s="33" t="s">
        <v>50</v>
      </c>
      <c r="B52" s="30"/>
      <c r="C52" s="31">
        <v>44</v>
      </c>
      <c r="D52" s="32"/>
      <c r="E52" s="12"/>
      <c r="F52" s="10"/>
    </row>
    <row r="53" spans="1:6" ht="17.100000000000001" customHeight="1" x14ac:dyDescent="0.2">
      <c r="A53" s="1" t="s">
        <v>51</v>
      </c>
      <c r="E53" s="12"/>
      <c r="F53" s="10"/>
    </row>
    <row r="54" spans="1:6" ht="18" customHeight="1" x14ac:dyDescent="0.2">
      <c r="A54" s="4" t="s">
        <v>52</v>
      </c>
      <c r="B54" s="36"/>
      <c r="C54" s="37"/>
      <c r="D54" s="37"/>
      <c r="E54" s="12"/>
      <c r="F54" s="10"/>
    </row>
    <row r="55" spans="1:6" ht="15" customHeight="1" x14ac:dyDescent="0.2">
      <c r="A55" s="2" t="s">
        <v>53</v>
      </c>
      <c r="B55" s="31">
        <v>144</v>
      </c>
      <c r="C55" s="32"/>
      <c r="D55" s="32"/>
      <c r="E55" s="12"/>
      <c r="F55" s="10"/>
    </row>
    <row r="56" spans="1:6" ht="15" customHeight="1" x14ac:dyDescent="0.2">
      <c r="A56" s="2" t="s">
        <v>54</v>
      </c>
      <c r="B56" s="31">
        <v>165</v>
      </c>
      <c r="C56" s="32"/>
      <c r="D56" s="32"/>
      <c r="E56" s="12"/>
      <c r="F56" s="10"/>
    </row>
    <row r="57" spans="1:6" ht="15" customHeight="1" x14ac:dyDescent="0.2">
      <c r="A57" s="2" t="s">
        <v>55</v>
      </c>
      <c r="B57" s="31">
        <v>152</v>
      </c>
      <c r="C57" s="32"/>
      <c r="D57" s="32"/>
      <c r="E57" s="12"/>
      <c r="F57" s="10"/>
    </row>
    <row r="58" spans="1:6" ht="15" customHeight="1" x14ac:dyDescent="0.2">
      <c r="A58" s="5" t="s">
        <v>56</v>
      </c>
      <c r="B58" s="42"/>
      <c r="C58" s="43"/>
      <c r="D58" s="43"/>
      <c r="E58" s="12"/>
      <c r="F58" s="10"/>
    </row>
    <row r="59" spans="1:6" ht="15" customHeight="1" x14ac:dyDescent="0.2">
      <c r="A59" s="2" t="s">
        <v>57</v>
      </c>
      <c r="B59" s="31">
        <v>110</v>
      </c>
      <c r="C59" s="32"/>
      <c r="D59" s="32"/>
      <c r="E59" s="12"/>
      <c r="F59" s="10"/>
    </row>
    <row r="60" spans="1:6" ht="15" customHeight="1" x14ac:dyDescent="0.2">
      <c r="A60" s="2" t="s">
        <v>58</v>
      </c>
      <c r="B60" s="31">
        <v>161</v>
      </c>
      <c r="C60" s="32"/>
      <c r="D60" s="32"/>
      <c r="E60" s="12"/>
      <c r="F60" s="10"/>
    </row>
    <row r="61" spans="1:6" ht="15" customHeight="1" x14ac:dyDescent="0.2">
      <c r="A61" s="2" t="s">
        <v>59</v>
      </c>
      <c r="B61" s="31">
        <v>102</v>
      </c>
      <c r="C61" s="32"/>
      <c r="D61" s="32"/>
      <c r="E61" s="12"/>
      <c r="F61" s="10"/>
    </row>
    <row r="62" spans="1:6" ht="18" customHeight="1" x14ac:dyDescent="0.2">
      <c r="A62" s="4" t="s">
        <v>60</v>
      </c>
      <c r="B62" s="36"/>
      <c r="C62" s="37"/>
      <c r="D62" s="37"/>
      <c r="E62" s="12"/>
      <c r="F62" s="10"/>
    </row>
    <row r="63" spans="1:6" ht="15" customHeight="1" x14ac:dyDescent="0.2">
      <c r="A63" s="2" t="s">
        <v>61</v>
      </c>
      <c r="B63" s="31">
        <v>151</v>
      </c>
      <c r="C63" s="32"/>
      <c r="D63" s="32"/>
      <c r="E63" s="12" t="s">
        <v>240</v>
      </c>
      <c r="F63" s="10"/>
    </row>
    <row r="64" spans="1:6" ht="15" customHeight="1" x14ac:dyDescent="0.2">
      <c r="A64" s="2" t="s">
        <v>62</v>
      </c>
      <c r="B64" s="31">
        <v>333</v>
      </c>
      <c r="C64" s="32"/>
      <c r="D64" s="32"/>
      <c r="E64" s="12" t="s">
        <v>227</v>
      </c>
      <c r="F64" s="10"/>
    </row>
    <row r="65" spans="1:6" ht="15" customHeight="1" x14ac:dyDescent="0.2">
      <c r="A65" s="2" t="s">
        <v>55</v>
      </c>
      <c r="B65" s="31">
        <v>32</v>
      </c>
      <c r="C65" s="32"/>
      <c r="D65" s="32"/>
      <c r="E65" s="12" t="s">
        <v>234</v>
      </c>
      <c r="F65" s="10"/>
    </row>
    <row r="66" spans="1:6" ht="30" customHeight="1" x14ac:dyDescent="0.2">
      <c r="A66" s="5" t="s">
        <v>63</v>
      </c>
      <c r="B66" s="42"/>
      <c r="C66" s="43"/>
      <c r="D66" s="43"/>
      <c r="E66" s="12"/>
      <c r="F66" s="10"/>
    </row>
    <row r="67" spans="1:6" ht="15.95" customHeight="1" x14ac:dyDescent="0.2">
      <c r="A67" s="2" t="s">
        <v>64</v>
      </c>
      <c r="B67" s="44">
        <v>158</v>
      </c>
      <c r="C67" s="45"/>
      <c r="D67" s="45"/>
      <c r="E67" s="12" t="s">
        <v>227</v>
      </c>
      <c r="F67" s="10"/>
    </row>
    <row r="68" spans="1:6" ht="15.95" customHeight="1" x14ac:dyDescent="0.2">
      <c r="A68" s="2" t="s">
        <v>65</v>
      </c>
      <c r="B68" s="44">
        <v>113</v>
      </c>
      <c r="C68" s="45"/>
      <c r="D68" s="45"/>
      <c r="E68" s="12" t="s">
        <v>233</v>
      </c>
      <c r="F68" s="10"/>
    </row>
    <row r="69" spans="1:6" ht="15.95" customHeight="1" x14ac:dyDescent="0.2">
      <c r="A69" s="2" t="s">
        <v>66</v>
      </c>
      <c r="B69" s="44">
        <v>115</v>
      </c>
      <c r="C69" s="45"/>
      <c r="D69" s="45"/>
      <c r="E69" s="12" t="s">
        <v>241</v>
      </c>
      <c r="F69" s="10"/>
    </row>
    <row r="70" spans="1:6" ht="18" customHeight="1" x14ac:dyDescent="0.2">
      <c r="A70" s="4" t="s">
        <v>67</v>
      </c>
      <c r="B70" s="36"/>
      <c r="C70" s="37"/>
      <c r="D70" s="37"/>
      <c r="E70" s="12"/>
      <c r="F70" s="10"/>
    </row>
    <row r="71" spans="1:6" ht="15" customHeight="1" x14ac:dyDescent="0.2">
      <c r="A71" s="2" t="s">
        <v>68</v>
      </c>
      <c r="B71" s="31">
        <v>46</v>
      </c>
      <c r="C71" s="32"/>
      <c r="D71" s="32"/>
      <c r="E71" s="12" t="s">
        <v>240</v>
      </c>
      <c r="F71" s="10"/>
    </row>
    <row r="72" spans="1:6" ht="30" customHeight="1" x14ac:dyDescent="0.2">
      <c r="A72" s="2" t="s">
        <v>69</v>
      </c>
      <c r="B72" s="31">
        <v>441</v>
      </c>
      <c r="C72" s="32"/>
      <c r="D72" s="32"/>
      <c r="E72" s="12" t="s">
        <v>242</v>
      </c>
      <c r="F72" s="10"/>
    </row>
    <row r="73" spans="1:6" ht="30" customHeight="1" x14ac:dyDescent="0.2">
      <c r="A73" s="2" t="s">
        <v>70</v>
      </c>
      <c r="B73" s="31">
        <v>111</v>
      </c>
      <c r="C73" s="32"/>
      <c r="D73" s="32"/>
      <c r="E73" s="12" t="s">
        <v>243</v>
      </c>
      <c r="F73" s="10"/>
    </row>
    <row r="74" spans="1:6" ht="30" customHeight="1" x14ac:dyDescent="0.2">
      <c r="A74" s="2" t="s">
        <v>71</v>
      </c>
      <c r="B74" s="31">
        <v>555</v>
      </c>
      <c r="C74" s="32"/>
      <c r="D74" s="32"/>
      <c r="E74" s="12" t="s">
        <v>226</v>
      </c>
      <c r="F74" s="10"/>
    </row>
    <row r="75" spans="1:6" ht="30" customHeight="1" x14ac:dyDescent="0.2">
      <c r="A75" s="2" t="s">
        <v>72</v>
      </c>
      <c r="B75" s="31">
        <v>101</v>
      </c>
      <c r="C75" s="32"/>
      <c r="D75" s="32"/>
      <c r="E75" s="12" t="s">
        <v>244</v>
      </c>
      <c r="F75" s="10"/>
    </row>
    <row r="76" spans="1:6" ht="15" customHeight="1" x14ac:dyDescent="0.2">
      <c r="A76" s="4" t="s">
        <v>73</v>
      </c>
      <c r="B76" s="36"/>
      <c r="C76" s="37"/>
      <c r="D76" s="37"/>
      <c r="E76" s="12"/>
      <c r="F76" s="10"/>
    </row>
    <row r="77" spans="1:6" ht="15" customHeight="1" x14ac:dyDescent="0.2">
      <c r="A77" s="2" t="s">
        <v>74</v>
      </c>
      <c r="B77" s="46">
        <v>24</v>
      </c>
      <c r="C77" s="47"/>
      <c r="D77" s="47"/>
      <c r="E77" s="12" t="s">
        <v>245</v>
      </c>
      <c r="F77" s="9" t="s">
        <v>243</v>
      </c>
    </row>
    <row r="78" spans="1:6" ht="30" customHeight="1" x14ac:dyDescent="0.2">
      <c r="A78" s="2" t="s">
        <v>75</v>
      </c>
      <c r="B78" s="31">
        <v>155</v>
      </c>
      <c r="C78" s="32"/>
      <c r="D78" s="32"/>
      <c r="E78" s="12" t="s">
        <v>223</v>
      </c>
      <c r="F78" s="10"/>
    </row>
    <row r="79" spans="1:6" ht="17.100000000000001" customHeight="1" x14ac:dyDescent="0.2">
      <c r="A79" s="1" t="s">
        <v>76</v>
      </c>
      <c r="F79" s="10"/>
    </row>
    <row r="80" spans="1:6" ht="18" customHeight="1" x14ac:dyDescent="0.2">
      <c r="A80" s="38" t="s">
        <v>77</v>
      </c>
      <c r="B80" s="48"/>
      <c r="C80" s="39"/>
      <c r="D80" s="36"/>
      <c r="E80" s="37"/>
      <c r="F80" s="13" t="s">
        <v>263</v>
      </c>
    </row>
    <row r="81" spans="1:6" ht="15" customHeight="1" x14ac:dyDescent="0.2">
      <c r="A81" s="33" t="s">
        <v>78</v>
      </c>
      <c r="B81" s="49"/>
      <c r="C81" s="30"/>
      <c r="D81" s="31">
        <v>72</v>
      </c>
      <c r="E81" s="32"/>
      <c r="F81" s="9" t="s">
        <v>246</v>
      </c>
    </row>
    <row r="82" spans="1:6" ht="15" customHeight="1" x14ac:dyDescent="0.2">
      <c r="A82" s="33" t="s">
        <v>79</v>
      </c>
      <c r="B82" s="49"/>
      <c r="C82" s="30"/>
      <c r="D82" s="50" t="s">
        <v>80</v>
      </c>
      <c r="E82" s="51"/>
      <c r="F82" s="9"/>
    </row>
    <row r="83" spans="1:6" ht="15" customHeight="1" x14ac:dyDescent="0.2">
      <c r="A83" s="33" t="s">
        <v>81</v>
      </c>
      <c r="B83" s="49"/>
      <c r="C83" s="30"/>
      <c r="D83" s="50" t="s">
        <v>80</v>
      </c>
      <c r="E83" s="51"/>
      <c r="F83" s="9"/>
    </row>
    <row r="84" spans="1:6" ht="15" customHeight="1" x14ac:dyDescent="0.2">
      <c r="A84" s="38" t="s">
        <v>82</v>
      </c>
      <c r="B84" s="48"/>
      <c r="C84" s="39"/>
      <c r="D84" s="36"/>
      <c r="E84" s="37"/>
      <c r="F84" s="9"/>
    </row>
    <row r="85" spans="1:6" ht="30" customHeight="1" x14ac:dyDescent="0.2">
      <c r="A85" s="33" t="s">
        <v>83</v>
      </c>
      <c r="B85" s="49"/>
      <c r="C85" s="30"/>
      <c r="D85" s="31">
        <v>171</v>
      </c>
      <c r="E85" s="32"/>
      <c r="F85" s="9" t="s">
        <v>247</v>
      </c>
    </row>
    <row r="86" spans="1:6" ht="15" customHeight="1" x14ac:dyDescent="0.2">
      <c r="A86" s="40"/>
      <c r="B86" s="41"/>
      <c r="C86" s="52"/>
      <c r="D86" s="40"/>
      <c r="E86" s="41"/>
      <c r="F86" s="9"/>
    </row>
    <row r="87" spans="1:6" ht="18" customHeight="1" x14ac:dyDescent="0.2">
      <c r="A87" s="38" t="s">
        <v>84</v>
      </c>
      <c r="B87" s="48"/>
      <c r="C87" s="39"/>
      <c r="D87" s="36"/>
      <c r="E87" s="37"/>
      <c r="F87" s="9"/>
    </row>
    <row r="88" spans="1:6" ht="15" customHeight="1" x14ac:dyDescent="0.2">
      <c r="A88" s="33" t="s">
        <v>85</v>
      </c>
      <c r="B88" s="49"/>
      <c r="C88" s="30"/>
      <c r="D88" s="31">
        <v>55</v>
      </c>
      <c r="E88" s="32"/>
      <c r="F88" s="9" t="s">
        <v>270</v>
      </c>
    </row>
    <row r="89" spans="1:6" ht="15" customHeight="1" x14ac:dyDescent="0.2">
      <c r="A89" s="33" t="s">
        <v>86</v>
      </c>
      <c r="B89" s="49"/>
      <c r="C89" s="30"/>
      <c r="D89" s="34">
        <v>2</v>
      </c>
      <c r="E89" s="35"/>
      <c r="F89" s="9" t="s">
        <v>245</v>
      </c>
    </row>
    <row r="90" spans="1:6" ht="15" customHeight="1" x14ac:dyDescent="0.2">
      <c r="A90" s="33" t="s">
        <v>87</v>
      </c>
      <c r="B90" s="49"/>
      <c r="C90" s="30"/>
      <c r="D90" s="31">
        <v>444</v>
      </c>
      <c r="E90" s="32"/>
      <c r="F90" s="9" t="s">
        <v>248</v>
      </c>
    </row>
    <row r="91" spans="1:6" ht="30" customHeight="1" x14ac:dyDescent="0.2">
      <c r="A91" s="33" t="s">
        <v>88</v>
      </c>
      <c r="B91" s="49"/>
      <c r="C91" s="30"/>
      <c r="D91" s="31">
        <v>24</v>
      </c>
      <c r="E91" s="32"/>
      <c r="F91" s="9" t="s">
        <v>225</v>
      </c>
    </row>
    <row r="92" spans="1:6" ht="18" customHeight="1" x14ac:dyDescent="0.2">
      <c r="A92" s="38" t="s">
        <v>89</v>
      </c>
      <c r="B92" s="48"/>
      <c r="C92" s="39"/>
      <c r="D92" s="36"/>
      <c r="E92" s="37"/>
      <c r="F92" s="9"/>
    </row>
    <row r="93" spans="1:6" ht="15" customHeight="1" x14ac:dyDescent="0.2">
      <c r="A93" s="33" t="s">
        <v>90</v>
      </c>
      <c r="B93" s="49"/>
      <c r="C93" s="30"/>
      <c r="D93" s="31">
        <v>103</v>
      </c>
      <c r="E93" s="32"/>
      <c r="F93" s="9" t="s">
        <v>245</v>
      </c>
    </row>
    <row r="94" spans="1:6" ht="15" customHeight="1" x14ac:dyDescent="0.2">
      <c r="A94" s="33" t="s">
        <v>91</v>
      </c>
      <c r="B94" s="49"/>
      <c r="C94" s="30"/>
      <c r="D94" s="31">
        <v>104</v>
      </c>
      <c r="E94" s="32"/>
      <c r="F94" s="9" t="s">
        <v>249</v>
      </c>
    </row>
    <row r="95" spans="1:6" ht="15" customHeight="1" x14ac:dyDescent="0.2">
      <c r="A95" s="33" t="s">
        <v>92</v>
      </c>
      <c r="B95" s="49"/>
      <c r="C95" s="30"/>
      <c r="D95" s="31">
        <v>108</v>
      </c>
      <c r="E95" s="32"/>
      <c r="F95" s="9" t="s">
        <v>234</v>
      </c>
    </row>
    <row r="96" spans="1:6" ht="15" customHeight="1" x14ac:dyDescent="0.2">
      <c r="A96" s="33" t="s">
        <v>93</v>
      </c>
      <c r="B96" s="49"/>
      <c r="C96" s="30"/>
      <c r="D96" s="31">
        <v>7</v>
      </c>
      <c r="E96" s="32"/>
      <c r="F96" s="9" t="s">
        <v>250</v>
      </c>
    </row>
    <row r="97" spans="1:6" ht="15" customHeight="1" x14ac:dyDescent="0.2">
      <c r="A97" s="38" t="s">
        <v>94</v>
      </c>
      <c r="B97" s="48"/>
      <c r="C97" s="39"/>
      <c r="D97" s="36"/>
      <c r="E97" s="37"/>
      <c r="F97" s="9"/>
    </row>
    <row r="98" spans="1:6" ht="30" customHeight="1" x14ac:dyDescent="0.2">
      <c r="A98" s="33" t="s">
        <v>95</v>
      </c>
      <c r="B98" s="49"/>
      <c r="C98" s="30"/>
      <c r="D98" s="34">
        <v>6</v>
      </c>
      <c r="E98" s="35"/>
      <c r="F98" s="9" t="s">
        <v>251</v>
      </c>
    </row>
    <row r="99" spans="1:6" ht="30" customHeight="1" x14ac:dyDescent="0.2">
      <c r="A99" s="33" t="s">
        <v>96</v>
      </c>
      <c r="B99" s="49"/>
      <c r="C99" s="30"/>
      <c r="D99" s="31">
        <v>4</v>
      </c>
      <c r="E99" s="32"/>
      <c r="F99" s="9" t="s">
        <v>252</v>
      </c>
    </row>
    <row r="100" spans="1:6" ht="30" customHeight="1" x14ac:dyDescent="0.2">
      <c r="A100" s="33" t="s">
        <v>97</v>
      </c>
      <c r="B100" s="49"/>
      <c r="C100" s="30"/>
      <c r="D100" s="31">
        <v>5</v>
      </c>
      <c r="E100" s="32"/>
      <c r="F100" s="9" t="s">
        <v>253</v>
      </c>
    </row>
    <row r="101" spans="1:6" ht="30" customHeight="1" x14ac:dyDescent="0.2">
      <c r="A101" s="33" t="s">
        <v>98</v>
      </c>
      <c r="B101" s="49"/>
      <c r="C101" s="30"/>
      <c r="D101" s="40"/>
      <c r="E101" s="41"/>
      <c r="F101" s="9"/>
    </row>
    <row r="102" spans="1:6" ht="15" customHeight="1" x14ac:dyDescent="0.2">
      <c r="A102" s="38" t="s">
        <v>99</v>
      </c>
      <c r="B102" s="48"/>
      <c r="C102" s="39"/>
      <c r="D102" s="36"/>
      <c r="E102" s="37"/>
      <c r="F102" s="9"/>
    </row>
    <row r="103" spans="1:6" ht="15" customHeight="1" x14ac:dyDescent="0.2">
      <c r="A103" s="33" t="s">
        <v>100</v>
      </c>
      <c r="B103" s="49"/>
      <c r="C103" s="30"/>
      <c r="D103" s="31">
        <v>60</v>
      </c>
      <c r="E103" s="32"/>
      <c r="F103" s="9" t="s">
        <v>226</v>
      </c>
    </row>
    <row r="104" spans="1:6" ht="15" customHeight="1" x14ac:dyDescent="0.2">
      <c r="A104" s="33" t="s">
        <v>101</v>
      </c>
      <c r="B104" s="49"/>
      <c r="C104" s="30"/>
      <c r="D104" s="31">
        <v>70</v>
      </c>
      <c r="E104" s="32"/>
      <c r="F104" s="9" t="s">
        <v>235</v>
      </c>
    </row>
    <row r="105" spans="1:6" ht="15" customHeight="1" x14ac:dyDescent="0.2">
      <c r="A105" s="33" t="s">
        <v>102</v>
      </c>
      <c r="B105" s="49"/>
      <c r="C105" s="30"/>
      <c r="D105" s="31">
        <v>67</v>
      </c>
      <c r="E105" s="32"/>
      <c r="F105" s="9" t="s">
        <v>235</v>
      </c>
    </row>
    <row r="106" spans="1:6" ht="15" customHeight="1" x14ac:dyDescent="0.2">
      <c r="A106" s="33" t="s">
        <v>103</v>
      </c>
      <c r="B106" s="49"/>
      <c r="C106" s="30"/>
      <c r="D106" s="31">
        <v>83</v>
      </c>
      <c r="E106" s="32"/>
      <c r="F106" s="9" t="s">
        <v>254</v>
      </c>
    </row>
    <row r="107" spans="1:6" ht="15" customHeight="1" x14ac:dyDescent="0.2">
      <c r="A107" s="38" t="s">
        <v>104</v>
      </c>
      <c r="B107" s="48"/>
      <c r="C107" s="39"/>
      <c r="D107" s="36"/>
      <c r="E107" s="37"/>
      <c r="F107" s="9"/>
    </row>
    <row r="108" spans="1:6" ht="30" customHeight="1" x14ac:dyDescent="0.2">
      <c r="A108" s="33" t="s">
        <v>105</v>
      </c>
      <c r="B108" s="49"/>
      <c r="C108" s="30"/>
      <c r="D108" s="31">
        <v>174</v>
      </c>
      <c r="E108" s="32"/>
      <c r="F108" s="9" t="s">
        <v>220</v>
      </c>
    </row>
    <row r="109" spans="1:6" ht="15" customHeight="1" x14ac:dyDescent="0.2">
      <c r="A109" s="33" t="s">
        <v>106</v>
      </c>
      <c r="B109" s="49"/>
      <c r="C109" s="30"/>
      <c r="D109" s="31">
        <v>8</v>
      </c>
      <c r="E109" s="32"/>
      <c r="F109" s="9" t="s">
        <v>246</v>
      </c>
    </row>
    <row r="110" spans="1:6" ht="30" customHeight="1" x14ac:dyDescent="0.2">
      <c r="A110" s="33" t="s">
        <v>107</v>
      </c>
      <c r="B110" s="49"/>
      <c r="C110" s="30"/>
      <c r="D110" s="34">
        <v>4</v>
      </c>
      <c r="E110" s="35"/>
      <c r="F110" s="9" t="s">
        <v>243</v>
      </c>
    </row>
    <row r="111" spans="1:6" ht="15" customHeight="1" x14ac:dyDescent="0.2">
      <c r="A111" s="38" t="s">
        <v>108</v>
      </c>
      <c r="B111" s="48"/>
      <c r="C111" s="39"/>
      <c r="D111" s="36"/>
      <c r="E111" s="37"/>
      <c r="F111" s="9"/>
    </row>
    <row r="112" spans="1:6" ht="15" customHeight="1" x14ac:dyDescent="0.2">
      <c r="A112" s="33" t="s">
        <v>109</v>
      </c>
      <c r="B112" s="49"/>
      <c r="C112" s="30"/>
      <c r="D112" s="31">
        <v>98</v>
      </c>
      <c r="E112" s="32"/>
      <c r="F112" s="9" t="s">
        <v>225</v>
      </c>
    </row>
    <row r="113" spans="1:6" ht="30" customHeight="1" x14ac:dyDescent="0.2">
      <c r="A113" s="33" t="s">
        <v>110</v>
      </c>
      <c r="B113" s="49"/>
      <c r="C113" s="30"/>
      <c r="D113" s="31">
        <v>114</v>
      </c>
      <c r="E113" s="32"/>
      <c r="F113" s="9" t="s">
        <v>250</v>
      </c>
    </row>
    <row r="114" spans="1:6" ht="15" customHeight="1" x14ac:dyDescent="0.2">
      <c r="A114" s="33" t="s">
        <v>111</v>
      </c>
      <c r="B114" s="49"/>
      <c r="C114" s="30"/>
      <c r="D114" s="31">
        <v>112</v>
      </c>
      <c r="E114" s="32"/>
      <c r="F114" s="10"/>
    </row>
    <row r="115" spans="1:6" ht="15" customHeight="1" x14ac:dyDescent="0.2">
      <c r="A115" s="33" t="s">
        <v>112</v>
      </c>
      <c r="B115" s="49"/>
      <c r="C115" s="30"/>
      <c r="D115" s="31">
        <v>889</v>
      </c>
      <c r="E115" s="32"/>
      <c r="F115" s="10"/>
    </row>
    <row r="116" spans="1:6" ht="15" customHeight="1" x14ac:dyDescent="0.2">
      <c r="A116" s="33" t="s">
        <v>113</v>
      </c>
      <c r="B116" s="49"/>
      <c r="C116" s="30"/>
      <c r="D116" s="31">
        <v>238</v>
      </c>
      <c r="E116" s="32"/>
      <c r="F116" s="10"/>
    </row>
    <row r="117" spans="1:6" ht="15" customHeight="1" x14ac:dyDescent="0.2">
      <c r="A117" s="33" t="s">
        <v>114</v>
      </c>
      <c r="B117" s="49"/>
      <c r="C117" s="30"/>
      <c r="D117" s="31">
        <v>556</v>
      </c>
      <c r="E117" s="32"/>
      <c r="F117" s="10"/>
    </row>
    <row r="118" spans="1:6" ht="15" customHeight="1" x14ac:dyDescent="0.2">
      <c r="A118" s="33" t="s">
        <v>115</v>
      </c>
      <c r="B118" s="49"/>
      <c r="C118" s="30"/>
      <c r="D118" s="31">
        <v>661</v>
      </c>
      <c r="E118" s="32"/>
      <c r="F118" s="10"/>
    </row>
    <row r="119" spans="1:6" ht="30" customHeight="1" x14ac:dyDescent="0.2">
      <c r="A119" s="33" t="s">
        <v>116</v>
      </c>
      <c r="B119" s="49"/>
      <c r="C119" s="30"/>
      <c r="D119" s="31">
        <v>169</v>
      </c>
      <c r="E119" s="32"/>
      <c r="F119" s="10"/>
    </row>
    <row r="120" spans="1:6" ht="30" customHeight="1" x14ac:dyDescent="0.2">
      <c r="A120" s="33" t="s">
        <v>117</v>
      </c>
      <c r="B120" s="49"/>
      <c r="C120" s="30"/>
      <c r="D120" s="31">
        <v>10</v>
      </c>
      <c r="E120" s="32"/>
      <c r="F120" s="10"/>
    </row>
    <row r="121" spans="1:6" ht="17.100000000000001" customHeight="1" x14ac:dyDescent="0.2">
      <c r="A121" s="1" t="s">
        <v>118</v>
      </c>
      <c r="F121" s="10"/>
    </row>
    <row r="122" spans="1:6" ht="18" customHeight="1" x14ac:dyDescent="0.2">
      <c r="A122" s="3" t="s">
        <v>119</v>
      </c>
      <c r="B122" s="36"/>
      <c r="C122" s="37"/>
      <c r="D122" s="37"/>
      <c r="E122" s="11" t="s">
        <v>264</v>
      </c>
      <c r="F122" s="14"/>
    </row>
    <row r="123" spans="1:6" ht="18" customHeight="1" x14ac:dyDescent="0.2">
      <c r="A123" s="6" t="s">
        <v>120</v>
      </c>
      <c r="B123" s="42"/>
      <c r="C123" s="43"/>
      <c r="D123" s="53"/>
      <c r="F123" s="10"/>
    </row>
    <row r="124" spans="1:6" ht="30" customHeight="1" x14ac:dyDescent="0.2">
      <c r="A124" s="2" t="s">
        <v>121</v>
      </c>
      <c r="B124" s="31">
        <v>123</v>
      </c>
      <c r="C124" s="32"/>
      <c r="D124" s="54"/>
      <c r="F124" s="10"/>
    </row>
    <row r="125" spans="1:6" ht="30" customHeight="1" x14ac:dyDescent="0.2">
      <c r="A125" s="2" t="s">
        <v>122</v>
      </c>
      <c r="B125" s="31">
        <v>124</v>
      </c>
      <c r="C125" s="32"/>
      <c r="D125" s="32"/>
      <c r="E125" s="12" t="s">
        <v>235</v>
      </c>
      <c r="F125" s="10"/>
    </row>
    <row r="126" spans="1:6" ht="30" customHeight="1" x14ac:dyDescent="0.2">
      <c r="A126" s="2" t="s">
        <v>123</v>
      </c>
      <c r="B126" s="31">
        <v>125</v>
      </c>
      <c r="C126" s="32"/>
      <c r="D126" s="32"/>
      <c r="E126" s="12"/>
      <c r="F126" s="10"/>
    </row>
    <row r="127" spans="1:6" ht="15" customHeight="1" x14ac:dyDescent="0.2">
      <c r="A127" s="2" t="s">
        <v>124</v>
      </c>
      <c r="B127" s="31">
        <v>132</v>
      </c>
      <c r="C127" s="32"/>
      <c r="D127" s="32"/>
      <c r="E127" s="12"/>
      <c r="F127" s="10"/>
    </row>
    <row r="128" spans="1:6" ht="18" customHeight="1" x14ac:dyDescent="0.2">
      <c r="A128" s="6" t="s">
        <v>125</v>
      </c>
      <c r="B128" s="42"/>
      <c r="C128" s="43"/>
      <c r="D128" s="43"/>
      <c r="E128" s="12"/>
      <c r="F128" s="10"/>
    </row>
    <row r="129" spans="1:6" ht="15" customHeight="1" x14ac:dyDescent="0.2">
      <c r="A129" s="2" t="s">
        <v>126</v>
      </c>
      <c r="B129" s="31">
        <v>128</v>
      </c>
      <c r="C129" s="32"/>
      <c r="D129" s="32"/>
      <c r="E129" s="12" t="s">
        <v>220</v>
      </c>
      <c r="F129" s="10"/>
    </row>
    <row r="130" spans="1:6" ht="30" customHeight="1" x14ac:dyDescent="0.2">
      <c r="A130" s="2" t="s">
        <v>127</v>
      </c>
      <c r="B130" s="31">
        <v>119</v>
      </c>
      <c r="C130" s="32"/>
      <c r="D130" s="32"/>
      <c r="E130" s="12" t="s">
        <v>253</v>
      </c>
      <c r="F130" s="10"/>
    </row>
    <row r="131" spans="1:6" ht="15" customHeight="1" x14ac:dyDescent="0.2">
      <c r="A131" s="2" t="s">
        <v>128</v>
      </c>
      <c r="B131" s="31">
        <v>117</v>
      </c>
      <c r="C131" s="32"/>
      <c r="D131" s="32"/>
      <c r="E131" s="12"/>
      <c r="F131" s="10"/>
    </row>
    <row r="132" spans="1:6" ht="35.1" customHeight="1" x14ac:dyDescent="0.2">
      <c r="A132" s="6" t="s">
        <v>129</v>
      </c>
      <c r="B132" s="42"/>
      <c r="C132" s="43"/>
      <c r="D132" s="43"/>
      <c r="E132" s="12"/>
      <c r="F132" s="10"/>
    </row>
    <row r="133" spans="1:6" ht="45" customHeight="1" x14ac:dyDescent="0.2">
      <c r="A133" s="2" t="s">
        <v>130</v>
      </c>
      <c r="B133" s="31">
        <v>126</v>
      </c>
      <c r="C133" s="32"/>
      <c r="D133" s="32"/>
      <c r="E133" s="12" t="s">
        <v>253</v>
      </c>
      <c r="F133" s="10"/>
    </row>
    <row r="134" spans="1:6" ht="30" customHeight="1" x14ac:dyDescent="0.2">
      <c r="A134" s="2" t="s">
        <v>131</v>
      </c>
      <c r="B134" s="31">
        <v>11</v>
      </c>
      <c r="C134" s="32"/>
      <c r="D134" s="32"/>
      <c r="E134" s="12" t="s">
        <v>255</v>
      </c>
      <c r="F134" s="10"/>
    </row>
    <row r="135" spans="1:6" ht="18" customHeight="1" x14ac:dyDescent="0.2">
      <c r="A135" s="3" t="s">
        <v>132</v>
      </c>
      <c r="B135" s="36"/>
      <c r="C135" s="37"/>
      <c r="D135" s="37"/>
      <c r="E135" s="12"/>
      <c r="F135" s="10"/>
    </row>
    <row r="136" spans="1:6" ht="18" customHeight="1" x14ac:dyDescent="0.2">
      <c r="A136" s="6" t="s">
        <v>133</v>
      </c>
      <c r="B136" s="42"/>
      <c r="C136" s="43"/>
      <c r="D136" s="43"/>
      <c r="E136" s="12"/>
      <c r="F136" s="10"/>
    </row>
    <row r="137" spans="1:6" ht="30" customHeight="1" x14ac:dyDescent="0.2">
      <c r="A137" s="2" t="s">
        <v>134</v>
      </c>
      <c r="B137" s="31">
        <v>164</v>
      </c>
      <c r="C137" s="32"/>
      <c r="D137" s="32"/>
      <c r="E137" s="12" t="s">
        <v>256</v>
      </c>
      <c r="F137" s="10"/>
    </row>
    <row r="138" spans="1:6" ht="30" customHeight="1" x14ac:dyDescent="0.2">
      <c r="A138" s="2" t="s">
        <v>135</v>
      </c>
      <c r="B138" s="31">
        <v>41</v>
      </c>
      <c r="C138" s="32"/>
      <c r="D138" s="32"/>
      <c r="E138" s="12"/>
      <c r="F138" s="10"/>
    </row>
    <row r="139" spans="1:6" ht="30" customHeight="1" x14ac:dyDescent="0.2">
      <c r="A139" s="2" t="s">
        <v>136</v>
      </c>
      <c r="B139" s="31">
        <v>180</v>
      </c>
      <c r="C139" s="32"/>
      <c r="D139" s="32"/>
      <c r="E139" s="12" t="s">
        <v>257</v>
      </c>
      <c r="F139" s="10"/>
    </row>
    <row r="140" spans="1:6" ht="30" customHeight="1" x14ac:dyDescent="0.2">
      <c r="A140" s="2" t="s">
        <v>137</v>
      </c>
      <c r="B140" s="31">
        <v>30</v>
      </c>
      <c r="C140" s="32"/>
      <c r="D140" s="32"/>
      <c r="E140" s="12" t="s">
        <v>258</v>
      </c>
      <c r="F140" s="10"/>
    </row>
    <row r="141" spans="1:6" ht="30" customHeight="1" x14ac:dyDescent="0.2">
      <c r="A141" s="2" t="s">
        <v>138</v>
      </c>
      <c r="B141" s="31">
        <v>38</v>
      </c>
      <c r="C141" s="32"/>
      <c r="D141" s="32"/>
      <c r="E141" s="12"/>
      <c r="F141" s="10"/>
    </row>
    <row r="142" spans="1:6" ht="30" customHeight="1" x14ac:dyDescent="0.2">
      <c r="A142" s="2" t="s">
        <v>139</v>
      </c>
      <c r="B142" s="31">
        <v>133</v>
      </c>
      <c r="C142" s="32"/>
      <c r="D142" s="32"/>
      <c r="E142" s="12"/>
      <c r="F142" s="10"/>
    </row>
    <row r="143" spans="1:6" ht="30" customHeight="1" x14ac:dyDescent="0.2">
      <c r="A143" s="2" t="s">
        <v>140</v>
      </c>
      <c r="B143" s="31">
        <v>888</v>
      </c>
      <c r="C143" s="32"/>
      <c r="D143" s="32"/>
      <c r="E143" s="12" t="s">
        <v>259</v>
      </c>
      <c r="F143" s="10"/>
    </row>
    <row r="144" spans="1:6" ht="15" customHeight="1" x14ac:dyDescent="0.2">
      <c r="A144" s="2" t="s">
        <v>141</v>
      </c>
      <c r="B144" s="31">
        <v>87</v>
      </c>
      <c r="C144" s="32"/>
      <c r="D144" s="32"/>
      <c r="E144" s="12"/>
      <c r="F144" s="10"/>
    </row>
    <row r="145" spans="1:6" ht="18" customHeight="1" x14ac:dyDescent="0.2">
      <c r="A145" s="6" t="s">
        <v>142</v>
      </c>
      <c r="B145" s="42"/>
      <c r="C145" s="43"/>
      <c r="D145" s="43"/>
      <c r="E145" s="12"/>
      <c r="F145" s="10"/>
    </row>
    <row r="146" spans="1:6" ht="30" customHeight="1" x14ac:dyDescent="0.2">
      <c r="A146" s="2" t="s">
        <v>143</v>
      </c>
      <c r="B146" s="31">
        <v>122</v>
      </c>
      <c r="C146" s="32"/>
      <c r="D146" s="32"/>
      <c r="E146" s="12" t="s">
        <v>229</v>
      </c>
      <c r="F146" s="10"/>
    </row>
    <row r="147" spans="1:6" ht="30" customHeight="1" x14ac:dyDescent="0.2">
      <c r="A147" s="2" t="s">
        <v>144</v>
      </c>
      <c r="B147" s="31">
        <v>35</v>
      </c>
      <c r="C147" s="32"/>
      <c r="D147" s="32"/>
      <c r="E147" s="12" t="s">
        <v>227</v>
      </c>
      <c r="F147" s="10"/>
    </row>
    <row r="148" spans="1:6" ht="30" customHeight="1" x14ac:dyDescent="0.2">
      <c r="A148" s="2" t="s">
        <v>145</v>
      </c>
      <c r="B148" s="34">
        <v>9</v>
      </c>
      <c r="C148" s="35"/>
      <c r="D148" s="35"/>
      <c r="E148" s="12" t="s">
        <v>244</v>
      </c>
      <c r="F148" s="10"/>
    </row>
    <row r="149" spans="1:6" ht="30" customHeight="1" x14ac:dyDescent="0.2">
      <c r="A149" s="2" t="s">
        <v>146</v>
      </c>
      <c r="B149" s="31">
        <v>121</v>
      </c>
      <c r="C149" s="32"/>
      <c r="D149" s="32"/>
      <c r="E149" s="12" t="s">
        <v>260</v>
      </c>
      <c r="F149" s="10"/>
    </row>
    <row r="150" spans="1:6" ht="30" customHeight="1" x14ac:dyDescent="0.2">
      <c r="A150" s="2" t="s">
        <v>147</v>
      </c>
      <c r="B150" s="31">
        <v>120</v>
      </c>
      <c r="C150" s="32"/>
      <c r="D150" s="32"/>
      <c r="E150" s="12" t="s">
        <v>261</v>
      </c>
      <c r="F150" s="10"/>
    </row>
    <row r="151" spans="1:6" ht="30" customHeight="1" x14ac:dyDescent="0.2">
      <c r="A151" s="2" t="s">
        <v>148</v>
      </c>
      <c r="B151" s="31">
        <v>109</v>
      </c>
      <c r="C151" s="32"/>
      <c r="D151" s="32"/>
      <c r="E151" s="12" t="s">
        <v>253</v>
      </c>
      <c r="F151" s="10"/>
    </row>
    <row r="152" spans="1:6" ht="90" customHeight="1" x14ac:dyDescent="0.2">
      <c r="A152" s="2" t="s">
        <v>149</v>
      </c>
      <c r="B152" s="55" t="s">
        <v>267</v>
      </c>
      <c r="C152" s="41"/>
      <c r="D152" s="41"/>
      <c r="E152" s="12"/>
      <c r="F152" s="10"/>
    </row>
    <row r="153" spans="1:6" ht="18" customHeight="1" x14ac:dyDescent="0.2">
      <c r="A153" s="6" t="s">
        <v>150</v>
      </c>
      <c r="B153" s="42"/>
      <c r="C153" s="43"/>
      <c r="D153" s="43"/>
      <c r="E153" s="12"/>
      <c r="F153" s="10"/>
    </row>
    <row r="154" spans="1:6" ht="30" customHeight="1" x14ac:dyDescent="0.2">
      <c r="A154" s="2" t="s">
        <v>151</v>
      </c>
      <c r="B154" s="31">
        <v>555</v>
      </c>
      <c r="C154" s="32"/>
      <c r="D154" s="32"/>
      <c r="E154" s="12"/>
      <c r="F154" s="10"/>
    </row>
    <row r="155" spans="1:6" ht="30" customHeight="1" x14ac:dyDescent="0.2">
      <c r="A155" s="2" t="s">
        <v>152</v>
      </c>
      <c r="B155" s="31">
        <v>441</v>
      </c>
      <c r="C155" s="32"/>
      <c r="D155" s="32"/>
      <c r="E155" s="12"/>
      <c r="F155" s="10"/>
    </row>
    <row r="156" spans="1:6" ht="30" customHeight="1" x14ac:dyDescent="0.2">
      <c r="A156" s="2" t="s">
        <v>153</v>
      </c>
      <c r="B156" s="31">
        <v>111</v>
      </c>
      <c r="C156" s="32"/>
      <c r="D156" s="32"/>
      <c r="E156" s="12"/>
      <c r="F156" s="10"/>
    </row>
    <row r="157" spans="1:6" ht="18" customHeight="1" x14ac:dyDescent="0.2">
      <c r="A157" s="7" t="s">
        <v>154</v>
      </c>
      <c r="B157" s="36"/>
      <c r="C157" s="37"/>
      <c r="D157" s="37"/>
      <c r="E157" s="12"/>
      <c r="F157" s="10"/>
    </row>
    <row r="158" spans="1:6" ht="30" customHeight="1" x14ac:dyDescent="0.2">
      <c r="A158" s="2" t="s">
        <v>155</v>
      </c>
      <c r="B158" s="31">
        <v>36</v>
      </c>
      <c r="C158" s="32"/>
      <c r="D158" s="32"/>
      <c r="E158" s="12" t="s">
        <v>228</v>
      </c>
      <c r="F158" s="10"/>
    </row>
    <row r="159" spans="1:6" ht="45" customHeight="1" x14ac:dyDescent="0.2">
      <c r="A159" s="2" t="s">
        <v>156</v>
      </c>
      <c r="B159" s="31">
        <v>243</v>
      </c>
      <c r="C159" s="32"/>
      <c r="D159" s="32"/>
      <c r="E159" s="12" t="s">
        <v>256</v>
      </c>
      <c r="F159" s="10"/>
    </row>
    <row r="160" spans="1:6" ht="15" customHeight="1" x14ac:dyDescent="0.2">
      <c r="A160" s="2" t="s">
        <v>157</v>
      </c>
      <c r="B160" s="31">
        <v>134</v>
      </c>
      <c r="C160" s="32"/>
      <c r="D160" s="32"/>
      <c r="E160" s="12" t="s">
        <v>235</v>
      </c>
      <c r="F160" s="10"/>
    </row>
    <row r="161" spans="1:6" ht="30" customHeight="1" x14ac:dyDescent="0.2">
      <c r="A161" s="2" t="s">
        <v>158</v>
      </c>
      <c r="B161" s="31">
        <v>48</v>
      </c>
      <c r="C161" s="32"/>
      <c r="D161" s="32"/>
      <c r="E161" s="12" t="s">
        <v>228</v>
      </c>
      <c r="F161" s="10"/>
    </row>
    <row r="162" spans="1:6" ht="30" customHeight="1" x14ac:dyDescent="0.2">
      <c r="A162" s="2" t="s">
        <v>159</v>
      </c>
      <c r="B162" s="31">
        <v>131</v>
      </c>
      <c r="C162" s="32"/>
      <c r="D162" s="32"/>
      <c r="E162" s="12"/>
      <c r="F162" s="10"/>
    </row>
    <row r="163" spans="1:6" ht="30" customHeight="1" x14ac:dyDescent="0.2">
      <c r="A163" s="2" t="s">
        <v>160</v>
      </c>
      <c r="B163" s="31">
        <v>127</v>
      </c>
      <c r="C163" s="32"/>
      <c r="D163" s="32"/>
      <c r="E163" s="12"/>
      <c r="F163" s="10"/>
    </row>
    <row r="164" spans="1:6" ht="15" customHeight="1" x14ac:dyDescent="0.2">
      <c r="A164" s="2" t="s">
        <v>161</v>
      </c>
      <c r="B164" s="31">
        <v>558</v>
      </c>
      <c r="C164" s="32"/>
      <c r="D164" s="32"/>
      <c r="E164" s="12"/>
      <c r="F164" s="10"/>
    </row>
    <row r="165" spans="1:6" ht="30" customHeight="1" x14ac:dyDescent="0.2">
      <c r="A165" s="2" t="s">
        <v>162</v>
      </c>
      <c r="B165" s="31">
        <v>132</v>
      </c>
      <c r="C165" s="32"/>
      <c r="D165" s="32"/>
      <c r="E165" s="12"/>
      <c r="F165" s="10"/>
    </row>
    <row r="166" spans="1:6" ht="18" customHeight="1" x14ac:dyDescent="0.2">
      <c r="A166" s="7" t="s">
        <v>163</v>
      </c>
      <c r="B166" s="36"/>
      <c r="C166" s="37"/>
      <c r="D166" s="37"/>
      <c r="E166" s="12"/>
      <c r="F166" s="10"/>
    </row>
    <row r="167" spans="1:6" ht="15" customHeight="1" x14ac:dyDescent="0.2">
      <c r="A167" s="2" t="s">
        <v>164</v>
      </c>
      <c r="B167" s="31">
        <v>91</v>
      </c>
      <c r="C167" s="32"/>
      <c r="D167" s="32"/>
      <c r="E167" s="12"/>
      <c r="F167" s="10"/>
    </row>
    <row r="168" spans="1:6" ht="30" customHeight="1" x14ac:dyDescent="0.2">
      <c r="A168" s="2" t="s">
        <v>165</v>
      </c>
      <c r="B168" s="31">
        <v>190</v>
      </c>
      <c r="C168" s="32"/>
      <c r="D168" s="32"/>
      <c r="E168" s="12"/>
      <c r="F168" s="10"/>
    </row>
    <row r="169" spans="1:6" ht="15" customHeight="1" x14ac:dyDescent="0.2">
      <c r="A169" s="2" t="s">
        <v>166</v>
      </c>
      <c r="B169" s="31">
        <v>63</v>
      </c>
      <c r="C169" s="32"/>
      <c r="D169" s="32"/>
      <c r="E169" s="12"/>
      <c r="F169" s="10"/>
    </row>
    <row r="170" spans="1:6" ht="15" customHeight="1" x14ac:dyDescent="0.2">
      <c r="A170" s="2" t="s">
        <v>167</v>
      </c>
      <c r="B170" s="34">
        <v>0</v>
      </c>
      <c r="C170" s="35"/>
      <c r="D170" s="35"/>
      <c r="E170" s="12"/>
      <c r="F170" s="10"/>
    </row>
    <row r="171" spans="1:6" ht="18" customHeight="1" x14ac:dyDescent="0.2">
      <c r="A171" s="7" t="s">
        <v>168</v>
      </c>
      <c r="B171" s="36"/>
      <c r="C171" s="37"/>
      <c r="D171" s="37"/>
      <c r="E171" s="12"/>
      <c r="F171" s="10"/>
    </row>
    <row r="172" spans="1:6" ht="15" customHeight="1" x14ac:dyDescent="0.2">
      <c r="A172" s="2" t="s">
        <v>169</v>
      </c>
      <c r="B172" s="46">
        <v>11</v>
      </c>
      <c r="C172" s="47"/>
      <c r="D172" s="47"/>
      <c r="E172" s="12"/>
      <c r="F172" s="10"/>
    </row>
    <row r="173" spans="1:6" ht="15" customHeight="1" x14ac:dyDescent="0.2">
      <c r="A173" s="2" t="s">
        <v>170</v>
      </c>
      <c r="B173" s="40"/>
      <c r="C173" s="41"/>
      <c r="D173" s="41"/>
      <c r="E173" s="12"/>
      <c r="F173" s="10"/>
    </row>
    <row r="174" spans="1:6" ht="15" customHeight="1" x14ac:dyDescent="0.2">
      <c r="A174" s="2" t="s">
        <v>171</v>
      </c>
      <c r="B174" s="31">
        <v>73</v>
      </c>
      <c r="C174" s="32"/>
      <c r="D174" s="32"/>
      <c r="E174" s="12"/>
      <c r="F174" s="10"/>
    </row>
    <row r="175" spans="1:6" ht="17.100000000000001" customHeight="1" x14ac:dyDescent="0.2">
      <c r="A175" s="1" t="s">
        <v>172</v>
      </c>
      <c r="E175" s="12"/>
      <c r="F175" s="10"/>
    </row>
    <row r="176" spans="1:6" ht="30" customHeight="1" x14ac:dyDescent="0.2">
      <c r="A176" s="33" t="s">
        <v>173</v>
      </c>
      <c r="B176" s="30"/>
      <c r="C176" s="31">
        <v>77</v>
      </c>
      <c r="D176" s="32"/>
      <c r="E176" s="12"/>
      <c r="F176" s="10"/>
    </row>
    <row r="177" spans="1:6" ht="30" customHeight="1" x14ac:dyDescent="0.2">
      <c r="A177" s="33" t="s">
        <v>174</v>
      </c>
      <c r="B177" s="30"/>
      <c r="C177" s="31">
        <v>40</v>
      </c>
      <c r="D177" s="32"/>
      <c r="E177" s="12"/>
      <c r="F177" s="10"/>
    </row>
    <row r="178" spans="1:6" ht="15" customHeight="1" x14ac:dyDescent="0.2">
      <c r="A178" s="33" t="s">
        <v>175</v>
      </c>
      <c r="B178" s="30"/>
      <c r="C178" s="31">
        <v>46</v>
      </c>
      <c r="D178" s="32"/>
      <c r="E178" s="12"/>
      <c r="F178" s="10"/>
    </row>
    <row r="179" spans="1:6" ht="17.100000000000001" customHeight="1" x14ac:dyDescent="0.2">
      <c r="A179" s="1" t="s">
        <v>176</v>
      </c>
      <c r="E179" s="12"/>
      <c r="F179" s="10"/>
    </row>
    <row r="180" spans="1:6" ht="24" customHeight="1" x14ac:dyDescent="0.2">
      <c r="A180" s="33" t="s">
        <v>177</v>
      </c>
      <c r="B180" s="30"/>
      <c r="C180" s="31">
        <v>170</v>
      </c>
      <c r="D180" s="32"/>
      <c r="E180" s="12"/>
      <c r="F180" s="10"/>
    </row>
    <row r="181" spans="1:6" ht="24" customHeight="1" x14ac:dyDescent="0.2">
      <c r="A181" s="33" t="s">
        <v>178</v>
      </c>
      <c r="B181" s="30"/>
      <c r="C181" s="31">
        <v>999</v>
      </c>
      <c r="D181" s="32"/>
      <c r="E181" s="12"/>
      <c r="F181" s="10"/>
    </row>
    <row r="182" spans="1:6" ht="30" customHeight="1" x14ac:dyDescent="0.2">
      <c r="A182" s="33" t="s">
        <v>179</v>
      </c>
      <c r="B182" s="30"/>
      <c r="C182" s="31">
        <v>58</v>
      </c>
      <c r="D182" s="32"/>
      <c r="E182" s="12"/>
      <c r="F182" s="10"/>
    </row>
    <row r="183" spans="1:6" ht="15" customHeight="1" x14ac:dyDescent="0.2">
      <c r="A183" s="33" t="s">
        <v>180</v>
      </c>
      <c r="B183" s="30"/>
      <c r="C183" s="31">
        <v>68</v>
      </c>
      <c r="D183" s="32"/>
      <c r="E183" s="12"/>
      <c r="F183" s="10"/>
    </row>
    <row r="184" spans="1:6" ht="30" customHeight="1" x14ac:dyDescent="0.2">
      <c r="A184" s="33" t="s">
        <v>181</v>
      </c>
      <c r="B184" s="30"/>
      <c r="C184" s="31">
        <v>13</v>
      </c>
      <c r="D184" s="32"/>
      <c r="E184" s="12"/>
      <c r="F184" s="10"/>
    </row>
    <row r="185" spans="1:6" ht="15" customHeight="1" x14ac:dyDescent="0.2">
      <c r="A185" s="33" t="s">
        <v>182</v>
      </c>
      <c r="B185" s="30"/>
      <c r="C185" s="31">
        <v>51</v>
      </c>
      <c r="D185" s="32"/>
      <c r="E185" s="12"/>
      <c r="F185" s="10"/>
    </row>
    <row r="186" spans="1:6" ht="15" customHeight="1" x14ac:dyDescent="0.2">
      <c r="A186" s="33" t="s">
        <v>183</v>
      </c>
      <c r="B186" s="30"/>
      <c r="C186" s="31">
        <v>667</v>
      </c>
      <c r="D186" s="32"/>
      <c r="E186" s="12"/>
      <c r="F186" s="10"/>
    </row>
    <row r="187" spans="1:6" ht="17.100000000000001" customHeight="1" x14ac:dyDescent="0.2">
      <c r="A187" s="1" t="s">
        <v>184</v>
      </c>
      <c r="E187" s="12"/>
      <c r="F187" s="10"/>
    </row>
    <row r="188" spans="1:6" ht="18" customHeight="1" x14ac:dyDescent="0.2">
      <c r="A188" s="7" t="s">
        <v>185</v>
      </c>
      <c r="B188" s="36"/>
      <c r="C188" s="37"/>
      <c r="D188" s="37"/>
      <c r="E188" s="12"/>
      <c r="F188" s="10"/>
    </row>
    <row r="189" spans="1:6" ht="30" customHeight="1" x14ac:dyDescent="0.2">
      <c r="A189" s="2" t="s">
        <v>186</v>
      </c>
      <c r="B189" s="31">
        <v>85</v>
      </c>
      <c r="C189" s="32"/>
      <c r="D189" s="32"/>
      <c r="E189" s="12" t="s">
        <v>228</v>
      </c>
      <c r="F189" s="10"/>
    </row>
    <row r="190" spans="1:6" ht="15" customHeight="1" x14ac:dyDescent="0.2">
      <c r="A190" s="2" t="s">
        <v>187</v>
      </c>
      <c r="B190" s="31">
        <v>799</v>
      </c>
      <c r="C190" s="32"/>
      <c r="D190" s="32"/>
      <c r="E190" s="12" t="s">
        <v>220</v>
      </c>
      <c r="F190" s="10"/>
    </row>
    <row r="191" spans="1:6" ht="18" customHeight="1" x14ac:dyDescent="0.2">
      <c r="A191" s="7" t="s">
        <v>188</v>
      </c>
      <c r="B191" s="36"/>
      <c r="C191" s="37"/>
      <c r="D191" s="56"/>
      <c r="F191" s="10"/>
    </row>
    <row r="192" spans="1:6" ht="30" customHeight="1" x14ac:dyDescent="0.2">
      <c r="A192" s="2" t="s">
        <v>189</v>
      </c>
      <c r="B192" s="46">
        <v>8</v>
      </c>
      <c r="C192" s="47"/>
      <c r="D192" s="57"/>
      <c r="F192" s="10"/>
    </row>
    <row r="193" spans="1:6" ht="30" customHeight="1" x14ac:dyDescent="0.2">
      <c r="A193" s="2" t="s">
        <v>190</v>
      </c>
      <c r="B193" s="31">
        <v>335</v>
      </c>
      <c r="C193" s="32"/>
      <c r="D193" s="54"/>
      <c r="F193" s="10"/>
    </row>
    <row r="194" spans="1:6" ht="30" customHeight="1" x14ac:dyDescent="0.2">
      <c r="A194" s="2" t="s">
        <v>191</v>
      </c>
      <c r="B194" s="31">
        <v>76</v>
      </c>
      <c r="C194" s="32"/>
      <c r="D194" s="54"/>
      <c r="F194" s="10"/>
    </row>
    <row r="195" spans="1:6" ht="30" customHeight="1" x14ac:dyDescent="0.2">
      <c r="A195" s="2" t="s">
        <v>192</v>
      </c>
      <c r="B195" s="31">
        <v>45</v>
      </c>
      <c r="C195" s="32"/>
      <c r="D195" s="54"/>
      <c r="F195" s="10"/>
    </row>
    <row r="196" spans="1:6" ht="18" customHeight="1" x14ac:dyDescent="0.2">
      <c r="A196" s="7" t="s">
        <v>193</v>
      </c>
      <c r="B196" s="36"/>
      <c r="C196" s="37"/>
      <c r="D196" s="56"/>
      <c r="F196" s="10"/>
    </row>
    <row r="197" spans="1:6" ht="15" customHeight="1" x14ac:dyDescent="0.2">
      <c r="A197" s="2" t="s">
        <v>194</v>
      </c>
      <c r="B197" s="31">
        <v>990</v>
      </c>
      <c r="C197" s="32"/>
      <c r="D197" s="54"/>
      <c r="F197" s="10"/>
    </row>
    <row r="198" spans="1:6" ht="15" customHeight="1" x14ac:dyDescent="0.2">
      <c r="A198" s="2" t="s">
        <v>195</v>
      </c>
      <c r="B198" s="31">
        <v>204</v>
      </c>
      <c r="C198" s="32"/>
      <c r="D198" s="54"/>
      <c r="F198" s="10"/>
    </row>
    <row r="199" spans="1:6" ht="15" customHeight="1" x14ac:dyDescent="0.2">
      <c r="A199" s="2" t="s">
        <v>196</v>
      </c>
      <c r="B199" s="31">
        <v>205</v>
      </c>
      <c r="C199" s="32"/>
      <c r="D199" s="54"/>
      <c r="F199" s="10"/>
    </row>
    <row r="200" spans="1:6" ht="15" customHeight="1" x14ac:dyDescent="0.2">
      <c r="A200" s="2" t="s">
        <v>53</v>
      </c>
      <c r="B200" s="31">
        <v>201</v>
      </c>
      <c r="C200" s="32"/>
      <c r="D200" s="54"/>
      <c r="F200" s="10"/>
    </row>
    <row r="201" spans="1:6" ht="15" customHeight="1" x14ac:dyDescent="0.2">
      <c r="A201" s="2" t="s">
        <v>197</v>
      </c>
      <c r="B201" s="31">
        <v>203</v>
      </c>
      <c r="C201" s="32"/>
      <c r="D201" s="54"/>
      <c r="F201" s="10"/>
    </row>
    <row r="202" spans="1:6" ht="30" customHeight="1" x14ac:dyDescent="0.2">
      <c r="A202" s="2" t="s">
        <v>198</v>
      </c>
      <c r="B202" s="31">
        <v>305</v>
      </c>
      <c r="C202" s="32"/>
      <c r="D202" s="54"/>
      <c r="F202" s="10"/>
    </row>
    <row r="203" spans="1:6" ht="17.100000000000001" customHeight="1" x14ac:dyDescent="0.2">
      <c r="A203" s="1" t="s">
        <v>199</v>
      </c>
      <c r="F203" s="10"/>
    </row>
    <row r="204" spans="1:6" ht="15" customHeight="1" x14ac:dyDescent="0.2">
      <c r="A204" s="4" t="s">
        <v>200</v>
      </c>
      <c r="B204" s="36"/>
      <c r="C204" s="37"/>
      <c r="D204" s="56"/>
      <c r="F204" s="10"/>
    </row>
    <row r="205" spans="1:6" ht="30" customHeight="1" x14ac:dyDescent="0.2">
      <c r="A205" s="2" t="s">
        <v>201</v>
      </c>
      <c r="B205" s="31">
        <v>39</v>
      </c>
      <c r="C205" s="32"/>
      <c r="D205" s="54"/>
      <c r="F205" s="10"/>
    </row>
    <row r="206" spans="1:6" ht="45" customHeight="1" x14ac:dyDescent="0.2">
      <c r="A206" s="2" t="s">
        <v>202</v>
      </c>
      <c r="B206" s="58" t="s">
        <v>266</v>
      </c>
      <c r="C206" s="41"/>
      <c r="D206" s="52"/>
      <c r="F206" s="10"/>
    </row>
    <row r="207" spans="1:6" ht="18" customHeight="1" x14ac:dyDescent="0.2">
      <c r="A207" s="4" t="s">
        <v>203</v>
      </c>
      <c r="B207" s="36"/>
      <c r="C207" s="37"/>
      <c r="D207" s="56"/>
      <c r="F207" s="10"/>
    </row>
    <row r="208" spans="1:6" ht="60" customHeight="1" x14ac:dyDescent="0.2">
      <c r="A208" s="2" t="s">
        <v>79</v>
      </c>
      <c r="B208" s="59" t="s">
        <v>265</v>
      </c>
      <c r="C208" s="60"/>
      <c r="D208" s="61"/>
      <c r="F208" s="10"/>
    </row>
    <row r="209" spans="1:6" ht="18" customHeight="1" x14ac:dyDescent="0.2">
      <c r="A209" s="2" t="s">
        <v>81</v>
      </c>
      <c r="B209" s="62" t="s">
        <v>204</v>
      </c>
      <c r="C209" s="63"/>
      <c r="D209" s="64"/>
      <c r="F209" s="10"/>
    </row>
    <row r="210" spans="1:6" ht="18" customHeight="1" x14ac:dyDescent="0.2">
      <c r="A210" s="2" t="s">
        <v>205</v>
      </c>
      <c r="B210" s="62" t="s">
        <v>204</v>
      </c>
      <c r="C210" s="63"/>
      <c r="D210" s="64"/>
      <c r="F210" s="10"/>
    </row>
    <row r="211" spans="1:6" ht="17.100000000000001" customHeight="1" x14ac:dyDescent="0.2">
      <c r="A211" s="1" t="s">
        <v>206</v>
      </c>
      <c r="F211" s="10"/>
    </row>
    <row r="212" spans="1:6" ht="15" customHeight="1" x14ac:dyDescent="0.2">
      <c r="A212" s="33" t="s">
        <v>207</v>
      </c>
      <c r="B212" s="30"/>
      <c r="C212" s="31">
        <v>107</v>
      </c>
      <c r="D212" s="54"/>
      <c r="F212" s="10"/>
    </row>
    <row r="213" spans="1:6" ht="15" customHeight="1" x14ac:dyDescent="0.2">
      <c r="A213" s="33" t="s">
        <v>208</v>
      </c>
      <c r="B213" s="30"/>
      <c r="C213" s="31">
        <v>106</v>
      </c>
      <c r="D213" s="54"/>
      <c r="F213" s="10"/>
    </row>
    <row r="214" spans="1:6" ht="45" customHeight="1" x14ac:dyDescent="0.2">
      <c r="A214" s="33" t="s">
        <v>209</v>
      </c>
      <c r="B214" s="30"/>
      <c r="C214" s="31">
        <v>163</v>
      </c>
      <c r="D214" s="54"/>
      <c r="F214" s="10"/>
    </row>
    <row r="215" spans="1:6" ht="60" customHeight="1" x14ac:dyDescent="0.2">
      <c r="A215" s="33" t="s">
        <v>210</v>
      </c>
      <c r="B215" s="30"/>
      <c r="C215" s="31">
        <v>162</v>
      </c>
      <c r="D215" s="54"/>
      <c r="F215" s="10"/>
    </row>
    <row r="216" spans="1:6" ht="45" customHeight="1" x14ac:dyDescent="0.2">
      <c r="A216" s="33" t="s">
        <v>211</v>
      </c>
      <c r="B216" s="30"/>
      <c r="C216" s="31">
        <v>167</v>
      </c>
      <c r="D216" s="54"/>
      <c r="F216" s="10"/>
    </row>
    <row r="217" spans="1:6" ht="45" customHeight="1" x14ac:dyDescent="0.2">
      <c r="A217" s="33" t="s">
        <v>212</v>
      </c>
      <c r="B217" s="30"/>
      <c r="C217" s="31">
        <v>168</v>
      </c>
      <c r="D217" s="54"/>
      <c r="F217" s="10"/>
    </row>
    <row r="218" spans="1:6" ht="15" customHeight="1" x14ac:dyDescent="0.2">
      <c r="A218" s="33" t="s">
        <v>213</v>
      </c>
      <c r="B218" s="30"/>
      <c r="C218" s="31">
        <v>105</v>
      </c>
      <c r="D218" s="54"/>
      <c r="F218" s="10"/>
    </row>
    <row r="219" spans="1:6" ht="17.100000000000001" customHeight="1" x14ac:dyDescent="0.2">
      <c r="A219" s="1" t="s">
        <v>214</v>
      </c>
      <c r="F219" s="10"/>
    </row>
    <row r="220" spans="1:6" ht="15" customHeight="1" x14ac:dyDescent="0.2">
      <c r="A220" s="33" t="s">
        <v>215</v>
      </c>
      <c r="B220" s="30"/>
      <c r="C220" s="31">
        <v>997</v>
      </c>
      <c r="D220" s="54"/>
      <c r="F220" s="10"/>
    </row>
    <row r="221" spans="1:6" ht="15" customHeight="1" x14ac:dyDescent="0.2">
      <c r="A221" s="33" t="s">
        <v>216</v>
      </c>
      <c r="B221" s="30"/>
      <c r="C221" s="31">
        <v>998</v>
      </c>
      <c r="D221" s="54"/>
      <c r="F221" s="10"/>
    </row>
    <row r="222" spans="1:6" ht="15" customHeight="1" x14ac:dyDescent="0.2">
      <c r="A222" s="33" t="s">
        <v>217</v>
      </c>
      <c r="B222" s="30"/>
      <c r="C222" s="31">
        <v>996</v>
      </c>
      <c r="D222" s="54"/>
      <c r="F222" s="10"/>
    </row>
    <row r="223" spans="1:6" ht="15" customHeight="1" x14ac:dyDescent="0.2">
      <c r="A223" s="33" t="s">
        <v>218</v>
      </c>
      <c r="B223" s="30"/>
      <c r="C223" s="31">
        <v>995</v>
      </c>
      <c r="D223" s="54"/>
      <c r="F223" s="10"/>
    </row>
    <row r="224" spans="1:6" ht="15" customHeight="1" x14ac:dyDescent="0.2">
      <c r="A224" s="33" t="s">
        <v>219</v>
      </c>
      <c r="B224" s="30"/>
      <c r="C224" s="31">
        <v>994</v>
      </c>
      <c r="D224" s="54"/>
      <c r="F224" s="10"/>
    </row>
    <row r="225" spans="6:6" x14ac:dyDescent="0.2">
      <c r="F225" s="10"/>
    </row>
    <row r="226" spans="6:6" x14ac:dyDescent="0.2">
      <c r="F226" s="10"/>
    </row>
    <row r="227" spans="6:6" x14ac:dyDescent="0.2">
      <c r="F227" s="10"/>
    </row>
    <row r="228" spans="6:6" x14ac:dyDescent="0.2">
      <c r="F228" s="10"/>
    </row>
  </sheetData>
  <mergeCells count="326"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20:B220"/>
    <mergeCell ref="C220:D220"/>
    <mergeCell ref="B208:D208"/>
    <mergeCell ref="B209:D209"/>
    <mergeCell ref="B210:D210"/>
    <mergeCell ref="A212:B212"/>
    <mergeCell ref="C212:D212"/>
    <mergeCell ref="A213:B213"/>
    <mergeCell ref="C213:D213"/>
    <mergeCell ref="A214:B214"/>
    <mergeCell ref="C214:D214"/>
    <mergeCell ref="B198:D198"/>
    <mergeCell ref="B199:D199"/>
    <mergeCell ref="B200:D200"/>
    <mergeCell ref="B201:D201"/>
    <mergeCell ref="B202:D202"/>
    <mergeCell ref="B204:D204"/>
    <mergeCell ref="B205:D205"/>
    <mergeCell ref="B206:D206"/>
    <mergeCell ref="B207:D207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B188:D188"/>
    <mergeCell ref="A177:B177"/>
    <mergeCell ref="C177:D177"/>
    <mergeCell ref="A178:B178"/>
    <mergeCell ref="C178:D178"/>
    <mergeCell ref="A180:B180"/>
    <mergeCell ref="C180:D180"/>
    <mergeCell ref="A181:B181"/>
    <mergeCell ref="C181:D181"/>
    <mergeCell ref="A182:B182"/>
    <mergeCell ref="C182:D182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A176:B176"/>
    <mergeCell ref="C176:D176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B72:D72"/>
    <mergeCell ref="B73:D73"/>
    <mergeCell ref="B74:D74"/>
    <mergeCell ref="B75:D75"/>
    <mergeCell ref="B76:D76"/>
    <mergeCell ref="B77:D77"/>
    <mergeCell ref="B78:D78"/>
    <mergeCell ref="A80:C80"/>
    <mergeCell ref="D80:E80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27:B27"/>
    <mergeCell ref="C27:D27"/>
    <mergeCell ref="A28:B28"/>
    <mergeCell ref="C28:D28"/>
    <mergeCell ref="A29:B29"/>
    <mergeCell ref="C29:D29"/>
    <mergeCell ref="A31:B31"/>
    <mergeCell ref="C31:D31"/>
    <mergeCell ref="A32:B32"/>
    <mergeCell ref="C32:D32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B19" sqref="B19"/>
    </sheetView>
  </sheetViews>
  <sheetFormatPr baseColWidth="10" defaultRowHeight="12.75" x14ac:dyDescent="0.2"/>
  <cols>
    <col min="1" max="1" width="26.5" customWidth="1"/>
    <col min="5" max="5" width="25" customWidth="1"/>
  </cols>
  <sheetData>
    <row r="1" spans="1:8" ht="15.75" x14ac:dyDescent="0.2">
      <c r="A1" s="65" t="s">
        <v>271</v>
      </c>
      <c r="B1" s="66"/>
      <c r="C1" s="67">
        <v>999</v>
      </c>
      <c r="D1" s="68"/>
      <c r="E1" s="18"/>
      <c r="F1" s="19"/>
      <c r="H1" s="17">
        <f>SUM(E1)</f>
        <v>0</v>
      </c>
    </row>
    <row r="2" spans="1:8" ht="15" x14ac:dyDescent="0.2">
      <c r="A2" s="21" t="s">
        <v>272</v>
      </c>
      <c r="B2" s="10"/>
      <c r="C2" s="10">
        <v>68</v>
      </c>
      <c r="D2" s="10"/>
      <c r="E2" s="22">
        <v>150000</v>
      </c>
      <c r="F2" s="10"/>
      <c r="H2" s="17">
        <f>SUM(E2:E16)</f>
        <v>9700000</v>
      </c>
    </row>
    <row r="3" spans="1:8" ht="15.75" x14ac:dyDescent="0.2">
      <c r="A3" s="69" t="s">
        <v>273</v>
      </c>
      <c r="B3" s="70"/>
      <c r="C3" s="71">
        <v>15</v>
      </c>
      <c r="D3" s="72"/>
      <c r="E3" s="23">
        <v>300000</v>
      </c>
      <c r="F3" s="20"/>
    </row>
    <row r="4" spans="1:8" ht="15.75" x14ac:dyDescent="0.2">
      <c r="A4" s="29" t="s">
        <v>273</v>
      </c>
      <c r="B4" s="30"/>
      <c r="C4" s="31">
        <v>15</v>
      </c>
      <c r="D4" s="32"/>
      <c r="E4" s="15">
        <v>300000</v>
      </c>
      <c r="F4" s="10"/>
    </row>
    <row r="5" spans="1:8" ht="15.75" x14ac:dyDescent="0.2">
      <c r="A5" s="29" t="s">
        <v>273</v>
      </c>
      <c r="B5" s="30"/>
      <c r="C5" s="31">
        <v>15</v>
      </c>
      <c r="D5" s="32"/>
      <c r="E5" s="15">
        <v>300000</v>
      </c>
      <c r="F5" s="10"/>
    </row>
    <row r="6" spans="1:8" ht="15.75" x14ac:dyDescent="0.2">
      <c r="A6" s="33" t="s">
        <v>11</v>
      </c>
      <c r="B6" s="30"/>
      <c r="C6" s="31">
        <v>50</v>
      </c>
      <c r="D6" s="32"/>
      <c r="E6" s="15">
        <v>350000</v>
      </c>
      <c r="F6" s="10"/>
    </row>
    <row r="7" spans="1:8" ht="15.75" x14ac:dyDescent="0.2">
      <c r="A7" s="33" t="s">
        <v>11</v>
      </c>
      <c r="B7" s="30"/>
      <c r="C7" s="31">
        <v>50</v>
      </c>
      <c r="D7" s="32"/>
      <c r="E7" s="15">
        <v>350000</v>
      </c>
      <c r="F7" s="10"/>
    </row>
    <row r="8" spans="1:8" ht="15.75" x14ac:dyDescent="0.2">
      <c r="A8" s="33" t="s">
        <v>27</v>
      </c>
      <c r="B8" s="30"/>
      <c r="C8" s="31">
        <v>28</v>
      </c>
      <c r="D8" s="32"/>
      <c r="E8" s="15">
        <v>300000</v>
      </c>
      <c r="F8" s="10"/>
    </row>
    <row r="9" spans="1:8" ht="15.75" x14ac:dyDescent="0.2">
      <c r="A9" s="33" t="s">
        <v>27</v>
      </c>
      <c r="B9" s="30"/>
      <c r="C9" s="31">
        <v>28</v>
      </c>
      <c r="D9" s="32"/>
      <c r="E9" s="15">
        <v>300000</v>
      </c>
      <c r="F9" s="10"/>
    </row>
    <row r="10" spans="1:8" ht="15.75" x14ac:dyDescent="0.2">
      <c r="A10" s="33" t="s">
        <v>7</v>
      </c>
      <c r="B10" s="30"/>
      <c r="C10" s="31">
        <v>16</v>
      </c>
      <c r="D10" s="32"/>
      <c r="E10" s="15">
        <v>450000</v>
      </c>
      <c r="F10" s="10"/>
    </row>
    <row r="11" spans="1:8" ht="15.75" x14ac:dyDescent="0.2">
      <c r="A11" s="33" t="s">
        <v>7</v>
      </c>
      <c r="B11" s="30"/>
      <c r="C11" s="31">
        <v>16</v>
      </c>
      <c r="D11" s="32"/>
      <c r="E11" s="15">
        <v>450000</v>
      </c>
      <c r="F11" s="10"/>
    </row>
    <row r="12" spans="1:8" ht="15.75" x14ac:dyDescent="0.2">
      <c r="A12" s="33" t="s">
        <v>7</v>
      </c>
      <c r="B12" s="30"/>
      <c r="C12" s="31">
        <v>16</v>
      </c>
      <c r="D12" s="32"/>
      <c r="E12" s="15">
        <v>450000</v>
      </c>
      <c r="F12" s="10"/>
    </row>
    <row r="13" spans="1:8" ht="15.75" x14ac:dyDescent="0.2">
      <c r="A13" s="33" t="s">
        <v>7</v>
      </c>
      <c r="B13" s="30"/>
      <c r="C13" s="31">
        <v>16</v>
      </c>
      <c r="D13" s="32"/>
      <c r="E13" s="15">
        <v>450000</v>
      </c>
      <c r="F13" s="10"/>
    </row>
    <row r="14" spans="1:8" ht="15.75" x14ac:dyDescent="0.2">
      <c r="A14" s="33" t="s">
        <v>7</v>
      </c>
      <c r="B14" s="30"/>
      <c r="C14" s="31">
        <v>16</v>
      </c>
      <c r="D14" s="32"/>
      <c r="E14" s="15">
        <v>450000</v>
      </c>
      <c r="F14" s="10"/>
    </row>
    <row r="15" spans="1:8" ht="15.75" x14ac:dyDescent="0.2">
      <c r="A15" s="33" t="s">
        <v>10</v>
      </c>
      <c r="B15" s="30"/>
      <c r="C15" s="31">
        <v>173</v>
      </c>
      <c r="D15" s="32"/>
      <c r="E15" s="15">
        <v>250000</v>
      </c>
      <c r="F15" s="10"/>
    </row>
    <row r="16" spans="1:8" x14ac:dyDescent="0.2">
      <c r="E16" s="17">
        <f>SUM(E2:E15)</f>
        <v>4850000</v>
      </c>
    </row>
    <row r="18" spans="1:1" ht="15.75" x14ac:dyDescent="0.2">
      <c r="A18" s="24" t="s">
        <v>280</v>
      </c>
    </row>
    <row r="19" spans="1:1" x14ac:dyDescent="0.2">
      <c r="A19" s="16" t="s">
        <v>281</v>
      </c>
    </row>
  </sheetData>
  <mergeCells count="28">
    <mergeCell ref="A5:B5"/>
    <mergeCell ref="C5:D5"/>
    <mergeCell ref="A6:B6"/>
    <mergeCell ref="C6:D6"/>
    <mergeCell ref="A1:B1"/>
    <mergeCell ref="C1:D1"/>
    <mergeCell ref="A3:B3"/>
    <mergeCell ref="C3:D3"/>
    <mergeCell ref="A4:B4"/>
    <mergeCell ref="C4:D4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K14" sqref="K14"/>
    </sheetView>
  </sheetViews>
  <sheetFormatPr baseColWidth="10" defaultRowHeight="12.75" x14ac:dyDescent="0.2"/>
  <sheetData>
    <row r="1" spans="1:7" x14ac:dyDescent="0.2">
      <c r="A1" s="73" t="s">
        <v>274</v>
      </c>
      <c r="B1" s="74"/>
      <c r="C1" s="74"/>
      <c r="D1" s="74"/>
      <c r="E1" s="74"/>
      <c r="F1" s="74"/>
      <c r="G1" s="74"/>
    </row>
    <row r="2" spans="1:7" x14ac:dyDescent="0.2">
      <c r="A2" s="74"/>
      <c r="B2" s="74"/>
      <c r="C2" s="74"/>
      <c r="D2" s="74"/>
      <c r="E2" s="74"/>
      <c r="F2" s="74"/>
      <c r="G2" s="74"/>
    </row>
    <row r="3" spans="1:7" x14ac:dyDescent="0.2">
      <c r="A3" s="74"/>
      <c r="B3" s="74"/>
      <c r="C3" s="74"/>
      <c r="D3" s="74"/>
      <c r="E3" s="74"/>
      <c r="F3" s="74"/>
      <c r="G3" s="74"/>
    </row>
    <row r="4" spans="1:7" x14ac:dyDescent="0.2">
      <c r="A4" s="74"/>
      <c r="B4" s="74"/>
      <c r="C4" s="74"/>
      <c r="D4" s="74"/>
      <c r="E4" s="74"/>
      <c r="F4" s="74"/>
      <c r="G4" s="74"/>
    </row>
    <row r="5" spans="1:7" x14ac:dyDescent="0.2">
      <c r="A5" s="74"/>
      <c r="B5" s="74"/>
      <c r="C5" s="74"/>
      <c r="D5" s="74"/>
      <c r="E5" s="74"/>
      <c r="F5" s="74"/>
      <c r="G5" s="74"/>
    </row>
    <row r="6" spans="1:7" x14ac:dyDescent="0.2">
      <c r="A6" s="74"/>
      <c r="B6" s="74"/>
      <c r="C6" s="74"/>
      <c r="D6" s="74"/>
      <c r="E6" s="74"/>
      <c r="F6" s="74"/>
      <c r="G6" s="74"/>
    </row>
    <row r="7" spans="1:7" x14ac:dyDescent="0.2">
      <c r="A7" s="73" t="s">
        <v>275</v>
      </c>
      <c r="B7" s="74"/>
      <c r="C7" s="74"/>
      <c r="D7" s="74"/>
      <c r="E7" s="74"/>
      <c r="F7" s="74"/>
      <c r="G7" s="74"/>
    </row>
    <row r="8" spans="1:7" x14ac:dyDescent="0.2">
      <c r="A8" s="74"/>
      <c r="B8" s="74"/>
      <c r="C8" s="74"/>
      <c r="D8" s="74"/>
      <c r="E8" s="74"/>
      <c r="F8" s="74"/>
      <c r="G8" s="74"/>
    </row>
    <row r="9" spans="1:7" x14ac:dyDescent="0.2">
      <c r="A9" s="74"/>
      <c r="B9" s="74"/>
      <c r="C9" s="74"/>
      <c r="D9" s="74"/>
      <c r="E9" s="74"/>
      <c r="F9" s="74"/>
      <c r="G9" s="74"/>
    </row>
    <row r="10" spans="1:7" x14ac:dyDescent="0.2">
      <c r="A10" s="74"/>
      <c r="B10" s="74"/>
      <c r="C10" s="74"/>
      <c r="D10" s="74"/>
      <c r="E10" s="74"/>
      <c r="F10" s="74"/>
      <c r="G10" s="74"/>
    </row>
    <row r="11" spans="1:7" x14ac:dyDescent="0.2">
      <c r="A11" s="74"/>
      <c r="B11" s="74"/>
      <c r="C11" s="74"/>
      <c r="D11" s="74"/>
      <c r="E11" s="74"/>
      <c r="F11" s="74"/>
      <c r="G11" s="74"/>
    </row>
    <row r="12" spans="1:7" x14ac:dyDescent="0.2">
      <c r="A12" s="74"/>
      <c r="B12" s="74"/>
      <c r="C12" s="74"/>
      <c r="D12" s="74"/>
      <c r="E12" s="74"/>
      <c r="F12" s="74"/>
      <c r="G12" s="74"/>
    </row>
    <row r="13" spans="1:7" x14ac:dyDescent="0.2">
      <c r="A13" s="73" t="s">
        <v>276</v>
      </c>
      <c r="B13" s="75"/>
      <c r="C13" s="75"/>
      <c r="D13" s="75"/>
      <c r="E13" s="75"/>
      <c r="F13" s="75"/>
      <c r="G13" s="75"/>
    </row>
    <row r="14" spans="1:7" x14ac:dyDescent="0.2">
      <c r="A14" s="75"/>
      <c r="B14" s="75"/>
      <c r="C14" s="75"/>
      <c r="D14" s="75"/>
      <c r="E14" s="75"/>
      <c r="F14" s="75"/>
      <c r="G14" s="75"/>
    </row>
    <row r="15" spans="1:7" x14ac:dyDescent="0.2">
      <c r="A15" s="73" t="s">
        <v>277</v>
      </c>
      <c r="B15" s="74"/>
      <c r="C15" s="74"/>
      <c r="D15" s="74"/>
      <c r="E15" s="74"/>
      <c r="F15" s="74"/>
      <c r="G15" s="74"/>
    </row>
    <row r="16" spans="1:7" x14ac:dyDescent="0.2">
      <c r="A16" s="74"/>
      <c r="B16" s="74"/>
      <c r="C16" s="74"/>
      <c r="D16" s="74"/>
      <c r="E16" s="74"/>
      <c r="F16" s="74"/>
      <c r="G16" s="74"/>
    </row>
    <row r="17" spans="1:7" x14ac:dyDescent="0.2">
      <c r="A17" s="74"/>
      <c r="B17" s="74"/>
      <c r="C17" s="74"/>
      <c r="D17" s="74"/>
      <c r="E17" s="74"/>
      <c r="F17" s="74"/>
      <c r="G17" s="74"/>
    </row>
    <row r="18" spans="1:7" x14ac:dyDescent="0.2">
      <c r="A18" s="76" t="s">
        <v>278</v>
      </c>
      <c r="B18" s="77"/>
      <c r="C18" s="77"/>
      <c r="D18" s="77"/>
      <c r="E18" s="77"/>
      <c r="F18" s="77"/>
      <c r="G18" s="77"/>
    </row>
    <row r="19" spans="1:7" x14ac:dyDescent="0.2">
      <c r="A19" s="77"/>
      <c r="B19" s="77"/>
      <c r="C19" s="77"/>
      <c r="D19" s="77"/>
      <c r="E19" s="77"/>
      <c r="F19" s="77"/>
      <c r="G19" s="77"/>
    </row>
    <row r="20" spans="1:7" x14ac:dyDescent="0.2">
      <c r="A20" s="77"/>
      <c r="B20" s="77"/>
      <c r="C20" s="77"/>
      <c r="D20" s="77"/>
      <c r="E20" s="77"/>
      <c r="F20" s="77"/>
      <c r="G20" s="77"/>
    </row>
    <row r="21" spans="1:7" x14ac:dyDescent="0.2">
      <c r="A21" s="76" t="s">
        <v>279</v>
      </c>
      <c r="B21" s="77"/>
      <c r="C21" s="77"/>
      <c r="D21" s="77"/>
      <c r="E21" s="77"/>
      <c r="F21" s="77"/>
      <c r="G21" s="77"/>
    </row>
    <row r="22" spans="1:7" x14ac:dyDescent="0.2">
      <c r="A22" s="77"/>
      <c r="B22" s="77"/>
      <c r="C22" s="77"/>
      <c r="D22" s="77"/>
      <c r="E22" s="77"/>
      <c r="F22" s="77"/>
      <c r="G22" s="77"/>
    </row>
    <row r="23" spans="1:7" x14ac:dyDescent="0.2">
      <c r="A23" s="77"/>
      <c r="B23" s="77"/>
      <c r="C23" s="77"/>
      <c r="D23" s="77"/>
      <c r="E23" s="77"/>
      <c r="F23" s="77"/>
      <c r="G23" s="77"/>
    </row>
  </sheetData>
  <mergeCells count="6">
    <mergeCell ref="A21:G23"/>
    <mergeCell ref="A1:G6"/>
    <mergeCell ref="A7:G12"/>
    <mergeCell ref="A13:G14"/>
    <mergeCell ref="A15:G17"/>
    <mergeCell ref="A18:G20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H6" sqref="H6"/>
    </sheetView>
  </sheetViews>
  <sheetFormatPr baseColWidth="10" defaultRowHeight="12.75" x14ac:dyDescent="0.2"/>
  <cols>
    <col min="6" max="6" width="13.33203125" bestFit="1" customWidth="1"/>
  </cols>
  <sheetData>
    <row r="1" spans="1:6" ht="15" customHeight="1" x14ac:dyDescent="0.2">
      <c r="A1" s="33" t="s">
        <v>78</v>
      </c>
      <c r="B1" s="49"/>
      <c r="C1" s="30"/>
      <c r="D1" s="31">
        <v>72</v>
      </c>
      <c r="E1" s="32"/>
      <c r="F1" s="79">
        <v>250000</v>
      </c>
    </row>
    <row r="2" spans="1:6" ht="15.75" x14ac:dyDescent="0.2">
      <c r="A2" s="33" t="s">
        <v>86</v>
      </c>
      <c r="B2" s="49"/>
      <c r="C2" s="30"/>
      <c r="D2" s="34">
        <v>2</v>
      </c>
      <c r="E2" s="35"/>
      <c r="F2" s="79">
        <v>4000000</v>
      </c>
    </row>
    <row r="3" spans="1:6" ht="15.75" x14ac:dyDescent="0.2">
      <c r="A3" s="33" t="s">
        <v>100</v>
      </c>
      <c r="B3" s="49"/>
      <c r="C3" s="30"/>
      <c r="D3" s="31">
        <v>60</v>
      </c>
      <c r="E3" s="78"/>
      <c r="F3" s="79">
        <v>350000</v>
      </c>
    </row>
    <row r="4" spans="1:6" ht="15.75" x14ac:dyDescent="0.2">
      <c r="A4" s="33" t="s">
        <v>103</v>
      </c>
      <c r="B4" s="49"/>
      <c r="C4" s="30"/>
      <c r="D4" s="31">
        <v>83</v>
      </c>
      <c r="E4" s="32"/>
      <c r="F4" s="79">
        <v>200000</v>
      </c>
    </row>
    <row r="5" spans="1:6" x14ac:dyDescent="0.2">
      <c r="F5" s="17">
        <f>SUM(F1:F4)</f>
        <v>4800000</v>
      </c>
    </row>
  </sheetData>
  <mergeCells count="8">
    <mergeCell ref="A4:C4"/>
    <mergeCell ref="D4:E4"/>
    <mergeCell ref="A1:C1"/>
    <mergeCell ref="D1:E1"/>
    <mergeCell ref="A2:C2"/>
    <mergeCell ref="D2:E2"/>
    <mergeCell ref="A3:C3"/>
    <mergeCell ref="D3:E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Table 1</vt:lpstr>
      <vt:lpstr>Hoja1</vt:lpstr>
      <vt:lpstr>Hoja3</vt:lpstr>
      <vt:lpstr>Hoja4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HwMD</cp:lastModifiedBy>
  <cp:lastPrinted>2025-11-13T18:28:48Z</cp:lastPrinted>
  <dcterms:created xsi:type="dcterms:W3CDTF">2025-11-07T13:09:28Z</dcterms:created>
  <dcterms:modified xsi:type="dcterms:W3CDTF">2025-11-14T11:46:06Z</dcterms:modified>
</cp:coreProperties>
</file>